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51.xml" ContentType="application/vnd.ms-excel.controlproperties+xml"/>
  <Override PartName="/xl/ctrlProps/ctrlProp5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du\Desktop\INFO\ESTUDO BACKUP\Projetos\Excel\"/>
    </mc:Choice>
  </mc:AlternateContent>
  <xr:revisionPtr revIDLastSave="0" documentId="13_ncr:1_{AAA79703-984A-4C7C-B747-3375B1C2A76C}" xr6:coauthVersionLast="45" xr6:coauthVersionMax="45" xr10:uidLastSave="{00000000-0000-0000-0000-000000000000}"/>
  <bookViews>
    <workbookView xWindow="-120" yWindow="-120" windowWidth="29040" windowHeight="15840" firstSheet="2" activeTab="2" xr2:uid="{C2499B7E-EC3A-4875-BB7E-19E67B112688}"/>
  </bookViews>
  <sheets>
    <sheet name="Menu Principal" sheetId="9" state="hidden" r:id="rId1"/>
    <sheet name="Visualizar Registro" sheetId="5" state="hidden" r:id="rId2"/>
    <sheet name="Controle Locatário X Imóvel" sheetId="10" r:id="rId3"/>
    <sheet name="Alterar Registro de Imóveis" sheetId="6" state="hidden" r:id="rId4"/>
    <sheet name="Alterar Registro de Locatários" sheetId="7" state="hidden" r:id="rId5"/>
    <sheet name="Alterar Registro de Contas" sheetId="8" state="hidden" r:id="rId6"/>
    <sheet name="Tabela" sheetId="1" r:id="rId7"/>
    <sheet name="Modelo" sheetId="3" state="hidden" r:id="rId8"/>
    <sheet name="Aviso" sheetId="4" state="hidden" r:id="rId9"/>
  </sheets>
  <definedNames>
    <definedName name="anomes">Tabela!$A$3:$A$5</definedName>
    <definedName name="imovel">Tabela!$C$3:$C$5</definedName>
    <definedName name="locatario">Tabela!$B$3:$B$5</definedName>
    <definedName name="_xlnm.Print_Area" localSheetId="8">Aviso!#REF!</definedName>
    <definedName name="_xlnm.Print_Area" localSheetId="7">Modelo!$B$3:$K$33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3" l="1"/>
  <c r="P3" i="3"/>
  <c r="P2" i="3" l="1"/>
  <c r="G22" i="3" s="1"/>
  <c r="G4" i="1"/>
  <c r="G5" i="1"/>
  <c r="G6" i="1"/>
  <c r="G7" i="1"/>
  <c r="G8" i="1"/>
  <c r="G9" i="1"/>
  <c r="G10" i="1"/>
  <c r="G11" i="1"/>
  <c r="G3" i="1"/>
  <c r="G21" i="4" l="1"/>
  <c r="K21" i="5"/>
  <c r="B17" i="3"/>
  <c r="F10" i="3"/>
  <c r="G16" i="3"/>
  <c r="G17" i="3"/>
  <c r="B22" i="3"/>
  <c r="C11" i="3"/>
  <c r="B21" i="3"/>
  <c r="G19" i="3"/>
  <c r="B16" i="3"/>
  <c r="J10" i="3"/>
  <c r="G20" i="3"/>
  <c r="G15" i="3"/>
  <c r="B20" i="3"/>
  <c r="B19" i="3"/>
  <c r="C13" i="3"/>
  <c r="G18" i="3"/>
  <c r="B15" i="3"/>
  <c r="C12" i="3"/>
  <c r="G21" i="3"/>
  <c r="B18" i="3"/>
  <c r="H13" i="3"/>
  <c r="M13" i="3"/>
  <c r="M9" i="3"/>
  <c r="M5" i="3"/>
  <c r="M12" i="3"/>
  <c r="M8" i="3"/>
  <c r="M4" i="3"/>
  <c r="M10" i="3"/>
  <c r="M6" i="3"/>
  <c r="M11" i="3"/>
  <c r="M7" i="3"/>
  <c r="C11" i="4" l="1"/>
  <c r="G11" i="5"/>
  <c r="C10" i="4"/>
  <c r="G10" i="5"/>
  <c r="B14" i="4"/>
  <c r="F14" i="5"/>
  <c r="B18" i="4"/>
  <c r="F18" i="5"/>
  <c r="F9" i="4"/>
  <c r="J9" i="5"/>
  <c r="B19" i="4"/>
  <c r="F19" i="5"/>
  <c r="B15" i="4"/>
  <c r="F15" i="5"/>
  <c r="B21" i="4"/>
  <c r="F21" i="5"/>
  <c r="B16" i="4"/>
  <c r="F16" i="5"/>
  <c r="B17" i="4"/>
  <c r="F17" i="5"/>
  <c r="G17" i="4"/>
  <c r="K17" i="5"/>
  <c r="H23" i="3"/>
  <c r="K14" i="5"/>
  <c r="G18" i="4"/>
  <c r="K18" i="5"/>
  <c r="G16" i="4"/>
  <c r="K16" i="5"/>
  <c r="J9" i="4"/>
  <c r="N9" i="5"/>
  <c r="H12" i="4"/>
  <c r="L12" i="5"/>
  <c r="G20" i="4"/>
  <c r="K20" i="5"/>
  <c r="C12" i="4"/>
  <c r="G12" i="5"/>
  <c r="G19" i="4"/>
  <c r="K19" i="5"/>
  <c r="B20" i="4"/>
  <c r="F20" i="5"/>
  <c r="G15" i="4"/>
  <c r="K15" i="5"/>
  <c r="G14" i="4"/>
  <c r="H22" i="4" s="1"/>
  <c r="L22" i="5" l="1"/>
</calcChain>
</file>

<file path=xl/sharedStrings.xml><?xml version="1.0" encoding="utf-8"?>
<sst xmlns="http://schemas.openxmlformats.org/spreadsheetml/2006/main" count="174" uniqueCount="72">
  <si>
    <t xml:space="preserve">AVISO DE COBRANÇA DE ALUGUEL E ENCARGOS </t>
  </si>
  <si>
    <t>N°</t>
  </si>
  <si>
    <t>MÊS:</t>
  </si>
  <si>
    <t>VENC:</t>
  </si>
  <si>
    <t>LOCATÁRIO:</t>
  </si>
  <si>
    <t>IMÓVEL:</t>
  </si>
  <si>
    <t>CNPJ:</t>
  </si>
  <si>
    <t>CEP</t>
  </si>
  <si>
    <t>DISCRIMINAÇÃO</t>
  </si>
  <si>
    <t>VALOR</t>
  </si>
  <si>
    <t>TOTAL</t>
  </si>
  <si>
    <t xml:space="preserve">OBS.:  
Após o vencimento aplicação de multa e juros previstos no contrato
</t>
  </si>
  <si>
    <t xml:space="preserve">Av. República do Chile, 230 -  18º andar - Centro - RJ - CEP 20031-170 </t>
  </si>
  <si>
    <t>Tel.: 21 2156-8150 - 0800-7071273 - www.infraprev.org.br</t>
  </si>
  <si>
    <t>2020-01</t>
  </si>
  <si>
    <t>2020-02</t>
  </si>
  <si>
    <t>2020-03</t>
  </si>
  <si>
    <t>XP</t>
  </si>
  <si>
    <t>BTG</t>
  </si>
  <si>
    <t>Modal</t>
  </si>
  <si>
    <t>Ano-Mês</t>
  </si>
  <si>
    <t>Locatário</t>
  </si>
  <si>
    <t>Concatenação</t>
  </si>
  <si>
    <t>Mês</t>
  </si>
  <si>
    <t>Vencimento</t>
  </si>
  <si>
    <t>Imóvel</t>
  </si>
  <si>
    <t>CNPJ</t>
  </si>
  <si>
    <t>Custo 1</t>
  </si>
  <si>
    <t>Valor 1</t>
  </si>
  <si>
    <t>Custo 2</t>
  </si>
  <si>
    <t>Valor 2</t>
  </si>
  <si>
    <t>Custo 3</t>
  </si>
  <si>
    <t>Valor 3</t>
  </si>
  <si>
    <t>Custo 4</t>
  </si>
  <si>
    <t>Valor 4</t>
  </si>
  <si>
    <t>Custo 5</t>
  </si>
  <si>
    <t>Valor 5</t>
  </si>
  <si>
    <t>Custo 6</t>
  </si>
  <si>
    <t>Valor 6</t>
  </si>
  <si>
    <t>Custo 7</t>
  </si>
  <si>
    <t>Valor 7</t>
  </si>
  <si>
    <t>Custo 8</t>
  </si>
  <si>
    <t>Valor 8</t>
  </si>
  <si>
    <t>Janeiro</t>
  </si>
  <si>
    <t>Fevereiro</t>
  </si>
  <si>
    <t>Março</t>
  </si>
  <si>
    <t>XP Corretora</t>
  </si>
  <si>
    <t>BTG Pactual</t>
  </si>
  <si>
    <t>Modal Mais</t>
  </si>
  <si>
    <t>Mourisco</t>
  </si>
  <si>
    <t>Baependi</t>
  </si>
  <si>
    <t>Ventura</t>
  </si>
  <si>
    <t>Aluguel</t>
  </si>
  <si>
    <t>Reembolso IPTU 01/10</t>
  </si>
  <si>
    <t>Locatário2</t>
  </si>
  <si>
    <t>Pasta para Salvar os PDFs</t>
  </si>
  <si>
    <t>Email 1</t>
  </si>
  <si>
    <t>Email 2</t>
  </si>
  <si>
    <t>Email 3</t>
  </si>
  <si>
    <t>Email 4</t>
  </si>
  <si>
    <t>Email 5</t>
  </si>
  <si>
    <t>Email 6</t>
  </si>
  <si>
    <t>Email 7</t>
  </si>
  <si>
    <t>Email 8</t>
  </si>
  <si>
    <t>Email 9</t>
  </si>
  <si>
    <t>Email 10</t>
  </si>
  <si>
    <t>Emails</t>
  </si>
  <si>
    <t>Código do Imóvel</t>
  </si>
  <si>
    <t>Nome do Imóvel</t>
  </si>
  <si>
    <t>Endereço do Imóvel</t>
  </si>
  <si>
    <t>Observações</t>
  </si>
  <si>
    <t>Avenida Almirante Ary Parreiras, 655 - Apartamento 408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</si>
</sst>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 &quot;#,##0.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thick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thick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indexed="64"/>
      </right>
      <top/>
      <bottom style="thick">
        <color auto="1"/>
      </bottom>
      <diagonal/>
    </border>
    <border>
      <left style="hair">
        <color auto="1"/>
      </left>
      <right/>
      <top style="thick">
        <color auto="1"/>
      </top>
      <bottom style="hair">
        <color auto="1"/>
      </bottom>
      <diagonal/>
    </border>
    <border>
      <left/>
      <right style="medium">
        <color indexed="64"/>
      </right>
      <top style="thick">
        <color auto="1"/>
      </top>
      <bottom style="hair">
        <color auto="1"/>
      </bottom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hair">
        <color auto="1"/>
      </right>
      <top style="thick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38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0" xfId="0" applyFont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18" xfId="0" applyFont="1" applyBorder="1"/>
    <xf numFmtId="0" fontId="1" fillId="0" borderId="19" xfId="0" applyFont="1" applyBorder="1"/>
    <xf numFmtId="0" fontId="3" fillId="0" borderId="19" xfId="0" applyFont="1" applyBorder="1" applyAlignment="1">
      <alignment horizontal="center" vertical="center"/>
    </xf>
    <xf numFmtId="0" fontId="1" fillId="0" borderId="20" xfId="0" applyFont="1" applyBorder="1"/>
    <xf numFmtId="14" fontId="0" fillId="0" borderId="0" xfId="0" applyNumberFormat="1"/>
    <xf numFmtId="0" fontId="1" fillId="2" borderId="21" xfId="0" applyFont="1" applyFill="1" applyBorder="1"/>
    <xf numFmtId="0" fontId="1" fillId="2" borderId="22" xfId="0" applyFont="1" applyFill="1" applyBorder="1"/>
    <xf numFmtId="0" fontId="1" fillId="0" borderId="23" xfId="0" applyFont="1" applyFill="1" applyBorder="1"/>
    <xf numFmtId="0" fontId="1" fillId="0" borderId="24" xfId="0" applyFont="1" applyFill="1" applyBorder="1"/>
    <xf numFmtId="0" fontId="5" fillId="0" borderId="0" xfId="1"/>
    <xf numFmtId="0" fontId="1" fillId="0" borderId="0" xfId="0" applyFont="1" applyBorder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right" vertical="center"/>
    </xf>
    <xf numFmtId="0" fontId="1" fillId="0" borderId="0" xfId="0" applyFont="1" applyBorder="1" applyAlignment="1">
      <alignment horizontal="left" vertical="top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Font="1"/>
    <xf numFmtId="0" fontId="1" fillId="0" borderId="38" xfId="0" applyFont="1" applyBorder="1"/>
    <xf numFmtId="0" fontId="1" fillId="0" borderId="39" xfId="0" applyFont="1" applyBorder="1"/>
    <xf numFmtId="0" fontId="2" fillId="2" borderId="37" xfId="0" applyFont="1" applyFill="1" applyBorder="1"/>
    <xf numFmtId="0" fontId="2" fillId="2" borderId="21" xfId="0" applyFont="1" applyFill="1" applyBorder="1"/>
    <xf numFmtId="0" fontId="2" fillId="0" borderId="23" xfId="0" applyFont="1" applyFill="1" applyBorder="1"/>
    <xf numFmtId="0" fontId="2" fillId="0" borderId="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2" xfId="0" applyFont="1" applyFill="1" applyBorder="1" applyAlignment="1"/>
    <xf numFmtId="0" fontId="7" fillId="0" borderId="18" xfId="0" applyFont="1" applyBorder="1"/>
    <xf numFmtId="0" fontId="2" fillId="0" borderId="1" xfId="0" applyFont="1" applyFill="1" applyBorder="1" applyAlignment="1"/>
    <xf numFmtId="0" fontId="2" fillId="2" borderId="22" xfId="0" applyFont="1" applyFill="1" applyBorder="1"/>
    <xf numFmtId="0" fontId="2" fillId="0" borderId="24" xfId="0" applyFont="1" applyFill="1" applyBorder="1"/>
    <xf numFmtId="0" fontId="2" fillId="0" borderId="1" xfId="0" applyFont="1" applyBorder="1"/>
    <xf numFmtId="0" fontId="0" fillId="0" borderId="4" xfId="0" applyBorder="1"/>
    <xf numFmtId="0" fontId="0" fillId="0" borderId="5" xfId="0" applyBorder="1"/>
    <xf numFmtId="0" fontId="2" fillId="0" borderId="4" xfId="0" applyFont="1" applyBorder="1"/>
    <xf numFmtId="0" fontId="0" fillId="0" borderId="4" xfId="0" applyBorder="1" applyAlignment="1">
      <alignment horizontal="left" vertical="top"/>
    </xf>
    <xf numFmtId="0" fontId="0" fillId="0" borderId="9" xfId="0" applyBorder="1" applyAlignment="1">
      <alignment horizontal="left" vertical="top" wrapText="1"/>
    </xf>
    <xf numFmtId="0" fontId="1" fillId="0" borderId="10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top"/>
    </xf>
    <xf numFmtId="0" fontId="1" fillId="0" borderId="15" xfId="0" applyFont="1" applyBorder="1" applyAlignment="1">
      <alignment horizontal="left" vertical="top"/>
    </xf>
    <xf numFmtId="0" fontId="1" fillId="0" borderId="16" xfId="0" applyFont="1" applyBorder="1" applyAlignment="1">
      <alignment horizontal="left" vertical="top"/>
    </xf>
    <xf numFmtId="0" fontId="1" fillId="0" borderId="17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164" fontId="1" fillId="0" borderId="10" xfId="0" applyNumberFormat="1" applyFont="1" applyBorder="1" applyAlignment="1">
      <alignment horizontal="right" vertical="center"/>
    </xf>
    <xf numFmtId="164" fontId="1" fillId="0" borderId="11" xfId="0" applyNumberFormat="1" applyFont="1" applyBorder="1" applyAlignment="1">
      <alignment horizontal="right" vertical="center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164" fontId="1" fillId="0" borderId="25" xfId="0" applyNumberFormat="1" applyFont="1" applyBorder="1" applyAlignment="1">
      <alignment horizontal="right" vertical="center"/>
    </xf>
    <xf numFmtId="164" fontId="1" fillId="0" borderId="13" xfId="0" applyNumberFormat="1" applyFont="1" applyBorder="1" applyAlignment="1">
      <alignment horizontal="right" vertical="center"/>
    </xf>
    <xf numFmtId="164" fontId="1" fillId="0" borderId="26" xfId="0" applyNumberFormat="1" applyFont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49" fontId="1" fillId="0" borderId="7" xfId="0" applyNumberFormat="1" applyFont="1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14" fontId="1" fillId="0" borderId="7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4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20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49" fontId="1" fillId="0" borderId="33" xfId="0" applyNumberFormat="1" applyFont="1" applyBorder="1" applyAlignment="1">
      <alignment horizontal="left" vertical="center"/>
    </xf>
    <xf numFmtId="49" fontId="1" fillId="0" borderId="36" xfId="0" applyNumberFormat="1" applyFont="1" applyBorder="1" applyAlignment="1">
      <alignment horizontal="left" vertical="center"/>
    </xf>
    <xf numFmtId="0" fontId="0" fillId="0" borderId="33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14" fontId="1" fillId="0" borderId="33" xfId="0" applyNumberFormat="1" applyFont="1" applyBorder="1" applyAlignment="1">
      <alignment horizontal="center" vertical="center"/>
    </xf>
    <xf numFmtId="14" fontId="1" fillId="0" borderId="34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0" fillId="0" borderId="26" xfId="0" applyBorder="1" applyAlignment="1">
      <alignment horizontal="left" vertical="center"/>
    </xf>
    <xf numFmtId="0" fontId="1" fillId="0" borderId="25" xfId="0" applyFont="1" applyBorder="1" applyAlignment="1">
      <alignment horizontal="left" vertical="center"/>
    </xf>
    <xf numFmtId="0" fontId="1" fillId="0" borderId="26" xfId="0" applyFont="1" applyBorder="1" applyAlignment="1">
      <alignment horizontal="left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1" fillId="0" borderId="18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27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0" fillId="0" borderId="29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2" fillId="0" borderId="12" xfId="0" applyFont="1" applyBorder="1" applyAlignment="1">
      <alignment horizontal="left" vertical="center"/>
    </xf>
    <xf numFmtId="0" fontId="2" fillId="0" borderId="13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"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0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Locatário X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180975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0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Imóveis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0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Locatários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15</xdr:row>
          <xdr:rowOff>180975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0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Locatários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Locatário X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180975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Imóveis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15</xdr:row>
          <xdr:rowOff>180975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</xdr:row>
          <xdr:rowOff>0</xdr:rowOff>
        </xdr:from>
        <xdr:to>
          <xdr:col>19</xdr:col>
          <xdr:colOff>0</xdr:colOff>
          <xdr:row>6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Locatário X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180975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Imóveis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Locatários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15</xdr:row>
          <xdr:rowOff>180975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Associar Locatário ao Imóvel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Locatário X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Imóveis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Locatários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Deletar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Dados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Locatário X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Imóveis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4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Locatários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15</xdr:row>
          <xdr:rowOff>180975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4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4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Visualizar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Controle Locatário X Imóvel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4</xdr:col>
          <xdr:colOff>0</xdr:colOff>
          <xdr:row>12</xdr:row>
          <xdr:rowOff>9525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Imóveis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Locatários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15</xdr:row>
          <xdr:rowOff>180975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Alterar Registro de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0</xdr:rowOff>
        </xdr:from>
        <xdr:to>
          <xdr:col>4</xdr:col>
          <xdr:colOff>0</xdr:colOff>
          <xdr:row>23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5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8</xdr:row>
          <xdr:rowOff>0</xdr:rowOff>
        </xdr:from>
        <xdr:to>
          <xdr:col>16</xdr:col>
          <xdr:colOff>0</xdr:colOff>
          <xdr:row>10</xdr:row>
          <xdr:rowOff>295275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7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438150</xdr:colOff>
      <xdr:row>27</xdr:row>
      <xdr:rowOff>85725</xdr:rowOff>
    </xdr:from>
    <xdr:ext cx="1305002" cy="813142"/>
    <xdr:pic>
      <xdr:nvPicPr>
        <xdr:cNvPr id="6" name="Imagem 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815250">
          <a:off x="4857750" y="7162800"/>
          <a:ext cx="1305002" cy="8131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7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7</xdr:row>
          <xdr:rowOff>0</xdr:rowOff>
        </xdr:from>
        <xdr:to>
          <xdr:col>15</xdr:col>
          <xdr:colOff>0</xdr:colOff>
          <xdr:row>9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8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5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17</xdr:col>
          <xdr:colOff>0</xdr:colOff>
          <xdr:row>6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8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C5B62A-DDB7-4011-8FE5-A8D09B49A9B6}" name="Table1" displayName="Table1" ref="E2:AM11" totalsRowShown="0">
  <autoFilter ref="E2:AM11" xr:uid="{7920E59B-3844-4579-93A2-4E9A0F3077E6}"/>
  <tableColumns count="35">
    <tableColumn id="1" xr3:uid="{3BB98501-3833-4F41-AC79-EA98ED5FC68C}" name="Ano-Mês" dataDxfId="1"/>
    <tableColumn id="2" xr3:uid="{9A0DD5B2-53FA-4B04-8DC1-7B4E8BA2872C}" name="Locatário"/>
    <tableColumn id="4" xr3:uid="{1AC4C4B0-994B-422E-9848-03EDA51184B7}" name="Concatenação">
      <calculatedColumnFormula>CONCATENATE(E3, " - ", F3)</calculatedColumnFormula>
    </tableColumn>
    <tableColumn id="27" xr3:uid="{8150057C-2708-4C20-A42F-CC0B8469A26D}" name="Email 1"/>
    <tableColumn id="44" xr3:uid="{8D459865-3624-4223-AF30-733B973CB93E}" name="Email 2" dataCellStyle="Hyperlink"/>
    <tableColumn id="43" xr3:uid="{5A776054-D658-44CB-8C39-6E2A6B61F63B}" name="Email 3" dataCellStyle="Hyperlink"/>
    <tableColumn id="42" xr3:uid="{3C702853-38D9-4DDF-A7AB-F606C50192AB}" name="Email 4" dataCellStyle="Hyperlink"/>
    <tableColumn id="41" xr3:uid="{8402CE10-E8EE-47C4-ABB2-11D7DCB93A77}" name="Email 5" dataCellStyle="Hyperlink"/>
    <tableColumn id="40" xr3:uid="{6C7C0D02-4818-42F8-8A89-0B686D608E01}" name="Email 6" dataCellStyle="Hyperlink"/>
    <tableColumn id="39" xr3:uid="{AC6CCF99-2D54-46D3-8E68-E82166C37E6F}" name="Email 7" dataCellStyle="Hyperlink"/>
    <tableColumn id="38" xr3:uid="{37C4BF35-D0B7-4D22-B3F8-89F78C2BC010}" name="Email 8" dataCellStyle="Hyperlink"/>
    <tableColumn id="37" xr3:uid="{FB94830A-66CE-4076-B534-1C1CD670CB50}" name="Email 9" dataCellStyle="Hyperlink"/>
    <tableColumn id="36" xr3:uid="{6BCB671D-3AE4-4598-8B4E-1738B71D9DC4}" name="Email 10" dataCellStyle="Hyperlink"/>
    <tableColumn id="5" xr3:uid="{2CDF3413-E7B3-4813-8AEC-C5416EDD7D59}" name="Mês"/>
    <tableColumn id="6" xr3:uid="{264B8F40-2E8D-40F8-997B-347B960D85DC}" name="Vencimento" dataDxfId="0"/>
    <tableColumn id="7" xr3:uid="{EBEF0C42-DDED-454C-9797-B5C6D9CED279}" name="Locatário2"/>
    <tableColumn id="8" xr3:uid="{69473A8C-301F-428F-AD31-23050C312538}" name="Imóvel"/>
    <tableColumn id="9" xr3:uid="{426E83E5-4FD2-4B83-ADE0-34538FC3AA17}" name="CNPJ"/>
    <tableColumn id="10" xr3:uid="{418989EF-6768-4820-AB05-A7EE173E45B9}" name="CEP"/>
    <tableColumn id="11" xr3:uid="{A7739E3D-6FDA-4635-B364-B88D6DFDF4E0}" name="Custo 1"/>
    <tableColumn id="12" xr3:uid="{3CFF878C-7322-4B0B-8664-6CC1AE9DD3D0}" name="Valor 1"/>
    <tableColumn id="13" xr3:uid="{8E88F885-F1DE-4CA8-85C5-B75441F5D24F}" name="Custo 2"/>
    <tableColumn id="14" xr3:uid="{8FA59D11-4354-40BD-BD38-B0DDE21C765B}" name="Valor 2"/>
    <tableColumn id="15" xr3:uid="{A44C23B1-5B72-416D-B5A8-B4AE4C6B0CFA}" name="Custo 3"/>
    <tableColumn id="16" xr3:uid="{A36D1FD8-D786-4642-ACCD-E8835081E39B}" name="Valor 3"/>
    <tableColumn id="17" xr3:uid="{F7033052-59AC-43FE-853E-3900048558F0}" name="Custo 4"/>
    <tableColumn id="18" xr3:uid="{77A3C057-6A6D-4383-8F3D-06F85D207F8D}" name="Valor 4"/>
    <tableColumn id="19" xr3:uid="{EC04A04A-DC86-4007-B826-8B7452ECC5D4}" name="Custo 5"/>
    <tableColumn id="20" xr3:uid="{07DAFBE9-5E6A-4855-B351-BEFBF9904C4E}" name="Valor 5"/>
    <tableColumn id="21" xr3:uid="{9CE8473A-1A91-422D-BE49-8DE94B2AA385}" name="Custo 6"/>
    <tableColumn id="22" xr3:uid="{15C769D8-7E49-4D1A-AE5A-525A62929C98}" name="Valor 6"/>
    <tableColumn id="23" xr3:uid="{25637A8E-D5BA-4475-B858-4CB7043EBBF0}" name="Custo 7"/>
    <tableColumn id="24" xr3:uid="{EE7EF0FD-871B-4EA0-B095-70340662CECE}" name="Valor 7"/>
    <tableColumn id="25" xr3:uid="{2713A79E-4F17-4876-914B-8D38E6D80889}" name="Custo 8"/>
    <tableColumn id="26" xr3:uid="{D9C0F1FA-AA6D-4FEB-B226-85B7F2E41842}" name="Valor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ctrlProp" Target="../ctrlProps/ctrlProp42.xml"/><Relationship Id="rId7" Type="http://schemas.openxmlformats.org/officeDocument/2006/relationships/ctrlProp" Target="../ctrlProps/ctrlProp4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101A9-5051-41D4-A5F5-937231F68F30}">
  <sheetPr codeName="Sheet1"/>
  <dimension ref="A1"/>
  <sheetViews>
    <sheetView workbookViewId="0">
      <selection activeCell="C29" sqref="C29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taoMenuPrincip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BotaoVisualizarRegistro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BotaoControleLocatarioImovel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BotaoAlterarRegistroImoveis">
                <anchor moveWithCells="1" sizeWithCells="1">
                  <from>
                    <xdr:col>1</xdr:col>
                    <xdr:colOff>0</xdr:colOff>
                    <xdr:row>9</xdr:row>
                    <xdr:rowOff>180975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BotaoAlterarRegistroLocatari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BotaoAlterarRegistroContas">
                <anchor moveWithCells="1" sizeWithCells="1">
                  <from>
                    <xdr:col>0</xdr:col>
                    <xdr:colOff>600075</xdr:colOff>
                    <xdr:row>15</xdr:row>
                    <xdr:rowOff>180975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Button 7">
              <controlPr defaultSize="0" print="0" autoFill="0" autoPict="0" macro="[0]!ModoEdicao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B98ED-B152-4869-9ED0-865ADF852723}">
  <sheetPr codeName="Sheet2"/>
  <dimension ref="F1:AA32"/>
  <sheetViews>
    <sheetView workbookViewId="0">
      <selection activeCell="C29" sqref="C29"/>
    </sheetView>
  </sheetViews>
  <sheetFormatPr defaultRowHeight="15" x14ac:dyDescent="0.25"/>
  <cols>
    <col min="6" max="6" width="11.42578125" style="1" customWidth="1"/>
    <col min="7" max="7" width="9.140625" style="1"/>
    <col min="8" max="8" width="5.7109375" style="1" customWidth="1"/>
    <col min="9" max="11" width="9.140625" style="1"/>
    <col min="12" max="12" width="5.7109375" style="1" customWidth="1"/>
    <col min="13" max="17" width="9.140625" style="1"/>
    <col min="18" max="19" width="9.140625" style="1" customWidth="1"/>
    <col min="20" max="21" width="9.140625" style="1"/>
  </cols>
  <sheetData>
    <row r="1" spans="6:27" ht="15.75" thickBot="1" x14ac:dyDescent="0.3"/>
    <row r="2" spans="6:27" x14ac:dyDescent="0.25">
      <c r="F2" s="2"/>
      <c r="G2" s="3"/>
      <c r="H2" s="3"/>
      <c r="I2" s="3"/>
      <c r="J2" s="3"/>
      <c r="K2" s="3"/>
      <c r="L2" s="3"/>
      <c r="M2" s="3"/>
      <c r="N2" s="3"/>
      <c r="O2" s="4"/>
      <c r="P2" s="23"/>
      <c r="R2" s="35" t="s">
        <v>23</v>
      </c>
      <c r="S2" s="47" t="s">
        <v>15</v>
      </c>
    </row>
    <row r="3" spans="6:27" ht="15.75" thickBot="1" x14ac:dyDescent="0.3">
      <c r="F3" s="5"/>
      <c r="O3" s="6"/>
      <c r="P3" s="23"/>
      <c r="R3" s="36" t="s">
        <v>21</v>
      </c>
      <c r="S3" s="48" t="s">
        <v>19</v>
      </c>
    </row>
    <row r="4" spans="6:27" ht="15.75" thickBot="1" x14ac:dyDescent="0.3">
      <c r="F4" s="5"/>
      <c r="O4" s="6"/>
      <c r="P4" s="23"/>
    </row>
    <row r="5" spans="6:27" x14ac:dyDescent="0.25">
      <c r="F5" s="5"/>
      <c r="O5" s="6"/>
      <c r="P5" s="23"/>
      <c r="T5" s="46" t="s">
        <v>55</v>
      </c>
      <c r="U5" s="44"/>
      <c r="V5" s="44"/>
      <c r="W5" s="44"/>
      <c r="X5" s="44"/>
      <c r="Y5" s="44"/>
      <c r="Z5" s="44"/>
      <c r="AA5" s="40"/>
    </row>
    <row r="6" spans="6:27" ht="15.75" thickBot="1" x14ac:dyDescent="0.3">
      <c r="F6" s="5"/>
      <c r="O6" s="6"/>
      <c r="P6" s="23"/>
      <c r="T6" s="45"/>
      <c r="U6" s="14"/>
      <c r="V6" s="41"/>
      <c r="W6" s="41"/>
      <c r="X6" s="41"/>
      <c r="Y6" s="41"/>
      <c r="Z6" s="41"/>
      <c r="AA6" s="42"/>
    </row>
    <row r="7" spans="6:27" x14ac:dyDescent="0.25">
      <c r="F7" s="82" t="s">
        <v>0</v>
      </c>
      <c r="G7" s="83"/>
      <c r="H7" s="83"/>
      <c r="I7" s="83"/>
      <c r="J7" s="83"/>
      <c r="K7" s="83"/>
      <c r="L7" s="83"/>
      <c r="M7" s="83"/>
      <c r="N7" s="83"/>
      <c r="O7" s="84"/>
      <c r="P7" s="37"/>
      <c r="Q7" s="7"/>
      <c r="R7" s="7"/>
      <c r="S7" s="7"/>
      <c r="T7" s="7"/>
      <c r="U7" s="7"/>
    </row>
    <row r="8" spans="6:27" ht="15.75" thickBot="1" x14ac:dyDescent="0.3">
      <c r="F8" s="82"/>
      <c r="G8" s="83"/>
      <c r="H8" s="83"/>
      <c r="I8" s="83"/>
      <c r="J8" s="83"/>
      <c r="K8" s="83"/>
      <c r="L8" s="83"/>
      <c r="M8" s="83"/>
      <c r="N8" s="83"/>
      <c r="O8" s="84"/>
      <c r="P8" s="37"/>
      <c r="Q8" s="7"/>
      <c r="R8" s="7"/>
      <c r="S8" s="7"/>
      <c r="T8" s="7"/>
      <c r="U8" s="7"/>
    </row>
    <row r="9" spans="6:27" ht="15.75" thickTop="1" x14ac:dyDescent="0.25">
      <c r="F9" s="8" t="s">
        <v>1</v>
      </c>
      <c r="G9" s="85"/>
      <c r="H9" s="85"/>
      <c r="I9" s="9" t="s">
        <v>2</v>
      </c>
      <c r="J9" s="86" t="str">
        <f>Modelo!F10</f>
        <v>Fevereiro</v>
      </c>
      <c r="K9" s="87"/>
      <c r="L9" s="87"/>
      <c r="M9" s="9" t="s">
        <v>3</v>
      </c>
      <c r="N9" s="88">
        <f>Modelo!J10</f>
        <v>43866</v>
      </c>
      <c r="O9" s="89"/>
      <c r="P9" s="25"/>
    </row>
    <row r="10" spans="6:27" x14ac:dyDescent="0.25">
      <c r="F10" s="10" t="s">
        <v>4</v>
      </c>
      <c r="G10" s="77" t="str">
        <f>Modelo!C11</f>
        <v>Modal Mais</v>
      </c>
      <c r="H10" s="62"/>
      <c r="I10" s="62"/>
      <c r="J10" s="62"/>
      <c r="K10" s="62"/>
      <c r="L10" s="62"/>
      <c r="M10" s="62"/>
      <c r="N10" s="62"/>
      <c r="O10" s="78"/>
      <c r="P10" s="26"/>
    </row>
    <row r="11" spans="6:27" x14ac:dyDescent="0.25">
      <c r="F11" s="10" t="s">
        <v>5</v>
      </c>
      <c r="G11" s="77" t="str">
        <f>Modelo!C12</f>
        <v>Ventura</v>
      </c>
      <c r="H11" s="62"/>
      <c r="I11" s="62"/>
      <c r="J11" s="62"/>
      <c r="K11" s="62"/>
      <c r="L11" s="62"/>
      <c r="M11" s="62"/>
      <c r="N11" s="62"/>
      <c r="O11" s="78"/>
      <c r="P11" s="26"/>
    </row>
    <row r="12" spans="6:27" x14ac:dyDescent="0.25">
      <c r="F12" s="10" t="s">
        <v>6</v>
      </c>
      <c r="G12" s="62">
        <f>Modelo!C13</f>
        <v>33333</v>
      </c>
      <c r="H12" s="62"/>
      <c r="I12" s="62"/>
      <c r="J12" s="62"/>
      <c r="K12" s="38" t="s">
        <v>7</v>
      </c>
      <c r="L12" s="62">
        <f>Modelo!H13</f>
        <v>66666</v>
      </c>
      <c r="M12" s="62"/>
      <c r="N12" s="62"/>
      <c r="O12" s="78"/>
      <c r="P12" s="26"/>
    </row>
    <row r="13" spans="6:27" x14ac:dyDescent="0.25">
      <c r="F13" s="79" t="s">
        <v>8</v>
      </c>
      <c r="G13" s="80"/>
      <c r="H13" s="80"/>
      <c r="I13" s="80"/>
      <c r="J13" s="80"/>
      <c r="K13" s="80" t="s">
        <v>9</v>
      </c>
      <c r="L13" s="80"/>
      <c r="M13" s="80"/>
      <c r="N13" s="80"/>
      <c r="O13" s="81"/>
      <c r="P13" s="37"/>
    </row>
    <row r="14" spans="6:27" x14ac:dyDescent="0.25">
      <c r="F14" s="76" t="str">
        <f>Modelo!B15</f>
        <v>Aluguel</v>
      </c>
      <c r="G14" s="62"/>
      <c r="H14" s="62"/>
      <c r="I14" s="62"/>
      <c r="J14" s="62"/>
      <c r="K14" s="63">
        <f>Modelo!G15</f>
        <v>789</v>
      </c>
      <c r="L14" s="63"/>
      <c r="M14" s="63"/>
      <c r="N14" s="63"/>
      <c r="O14" s="64"/>
      <c r="P14" s="27"/>
    </row>
    <row r="15" spans="6:27" x14ac:dyDescent="0.25">
      <c r="F15" s="76" t="str">
        <f>Modelo!B16</f>
        <v>Reembolso IPTU 01/10</v>
      </c>
      <c r="G15" s="62"/>
      <c r="H15" s="62"/>
      <c r="I15" s="62"/>
      <c r="J15" s="62"/>
      <c r="K15" s="63">
        <f>Modelo!G16</f>
        <v>78</v>
      </c>
      <c r="L15" s="63"/>
      <c r="M15" s="63"/>
      <c r="N15" s="63"/>
      <c r="O15" s="64"/>
      <c r="P15" s="27"/>
    </row>
    <row r="16" spans="6:27" x14ac:dyDescent="0.25">
      <c r="F16" s="67" t="str">
        <f>Modelo!B17</f>
        <v/>
      </c>
      <c r="G16" s="68"/>
      <c r="H16" s="68"/>
      <c r="I16" s="68"/>
      <c r="J16" s="69"/>
      <c r="K16" s="73" t="str">
        <f>Modelo!G17</f>
        <v/>
      </c>
      <c r="L16" s="74"/>
      <c r="M16" s="74"/>
      <c r="N16" s="74"/>
      <c r="O16" s="75"/>
      <c r="P16" s="27"/>
    </row>
    <row r="17" spans="6:16" x14ac:dyDescent="0.25">
      <c r="F17" s="67" t="str">
        <f>Modelo!B18</f>
        <v/>
      </c>
      <c r="G17" s="68"/>
      <c r="H17" s="68"/>
      <c r="I17" s="68"/>
      <c r="J17" s="69"/>
      <c r="K17" s="63" t="str">
        <f>Modelo!G18</f>
        <v/>
      </c>
      <c r="L17" s="63"/>
      <c r="M17" s="63"/>
      <c r="N17" s="63"/>
      <c r="O17" s="64"/>
      <c r="P17" s="27"/>
    </row>
    <row r="18" spans="6:16" x14ac:dyDescent="0.25">
      <c r="F18" s="70" t="str">
        <f>Modelo!B19</f>
        <v/>
      </c>
      <c r="G18" s="71"/>
      <c r="H18" s="71"/>
      <c r="I18" s="71"/>
      <c r="J18" s="72"/>
      <c r="K18" s="73" t="str">
        <f>Modelo!G19</f>
        <v/>
      </c>
      <c r="L18" s="74"/>
      <c r="M18" s="74"/>
      <c r="N18" s="74"/>
      <c r="O18" s="75"/>
      <c r="P18" s="27"/>
    </row>
    <row r="19" spans="6:16" x14ac:dyDescent="0.25">
      <c r="F19" s="61" t="str">
        <f>Modelo!B20</f>
        <v/>
      </c>
      <c r="G19" s="62"/>
      <c r="H19" s="62"/>
      <c r="I19" s="62"/>
      <c r="J19" s="62"/>
      <c r="K19" s="63" t="str">
        <f>Modelo!G20</f>
        <v/>
      </c>
      <c r="L19" s="63"/>
      <c r="M19" s="63"/>
      <c r="N19" s="63"/>
      <c r="O19" s="64"/>
      <c r="P19" s="27"/>
    </row>
    <row r="20" spans="6:16" x14ac:dyDescent="0.25">
      <c r="F20" s="61" t="str">
        <f>Modelo!B21</f>
        <v/>
      </c>
      <c r="G20" s="62"/>
      <c r="H20" s="62"/>
      <c r="I20" s="62"/>
      <c r="J20" s="62"/>
      <c r="K20" s="63" t="str">
        <f>Modelo!G21</f>
        <v/>
      </c>
      <c r="L20" s="63"/>
      <c r="M20" s="63"/>
      <c r="N20" s="63"/>
      <c r="O20" s="64"/>
      <c r="P20" s="27"/>
    </row>
    <row r="21" spans="6:16" x14ac:dyDescent="0.25">
      <c r="F21" s="61" t="str">
        <f>Modelo!B22</f>
        <v/>
      </c>
      <c r="G21" s="62"/>
      <c r="H21" s="62"/>
      <c r="I21" s="62"/>
      <c r="J21" s="62"/>
      <c r="K21" s="63" t="str">
        <f>Modelo!G22</f>
        <v/>
      </c>
      <c r="L21" s="63"/>
      <c r="M21" s="63"/>
      <c r="N21" s="63"/>
      <c r="O21" s="64"/>
      <c r="P21" s="27"/>
    </row>
    <row r="22" spans="6:16" x14ac:dyDescent="0.25">
      <c r="F22" s="65"/>
      <c r="G22" s="66"/>
      <c r="H22" s="66"/>
      <c r="I22" s="66"/>
      <c r="J22" s="66"/>
      <c r="K22" s="11" t="s">
        <v>10</v>
      </c>
      <c r="L22" s="63">
        <f>SUM(K14:O21)</f>
        <v>867</v>
      </c>
      <c r="M22" s="63"/>
      <c r="N22" s="63"/>
      <c r="O22" s="64"/>
      <c r="P22" s="27"/>
    </row>
    <row r="23" spans="6:16" x14ac:dyDescent="0.25">
      <c r="F23" s="54" t="s">
        <v>11</v>
      </c>
      <c r="G23" s="55"/>
      <c r="H23" s="55"/>
      <c r="I23" s="55"/>
      <c r="J23" s="55"/>
      <c r="K23" s="55"/>
      <c r="L23" s="55"/>
      <c r="M23" s="55"/>
      <c r="N23" s="55"/>
      <c r="O23" s="56"/>
      <c r="P23" s="28"/>
    </row>
    <row r="24" spans="6:16" x14ac:dyDescent="0.25">
      <c r="F24" s="57"/>
      <c r="G24" s="55"/>
      <c r="H24" s="55"/>
      <c r="I24" s="55"/>
      <c r="J24" s="55"/>
      <c r="K24" s="55"/>
      <c r="L24" s="55"/>
      <c r="M24" s="55"/>
      <c r="N24" s="55"/>
      <c r="O24" s="56"/>
      <c r="P24" s="28"/>
    </row>
    <row r="25" spans="6:16" x14ac:dyDescent="0.25">
      <c r="F25" s="57"/>
      <c r="G25" s="55"/>
      <c r="H25" s="55"/>
      <c r="I25" s="55"/>
      <c r="J25" s="55"/>
      <c r="K25" s="55"/>
      <c r="L25" s="55"/>
      <c r="M25" s="55"/>
      <c r="N25" s="55"/>
      <c r="O25" s="56"/>
      <c r="P25" s="28"/>
    </row>
    <row r="26" spans="6:16" x14ac:dyDescent="0.25">
      <c r="F26" s="57"/>
      <c r="G26" s="55"/>
      <c r="H26" s="55"/>
      <c r="I26" s="55"/>
      <c r="J26" s="55"/>
      <c r="K26" s="55"/>
      <c r="L26" s="55"/>
      <c r="M26" s="55"/>
      <c r="N26" s="55"/>
      <c r="O26" s="56"/>
      <c r="P26" s="28"/>
    </row>
    <row r="27" spans="6:16" x14ac:dyDescent="0.25">
      <c r="F27" s="57"/>
      <c r="G27" s="55"/>
      <c r="H27" s="55"/>
      <c r="I27" s="55"/>
      <c r="J27" s="55"/>
      <c r="K27" s="55"/>
      <c r="L27" s="55"/>
      <c r="M27" s="55"/>
      <c r="N27" s="55"/>
      <c r="O27" s="56"/>
      <c r="P27" s="28"/>
    </row>
    <row r="28" spans="6:16" x14ac:dyDescent="0.25">
      <c r="F28" s="57"/>
      <c r="G28" s="55"/>
      <c r="H28" s="55"/>
      <c r="I28" s="55"/>
      <c r="J28" s="55"/>
      <c r="K28" s="55"/>
      <c r="L28" s="55"/>
      <c r="M28" s="55"/>
      <c r="N28" s="55"/>
      <c r="O28" s="56"/>
      <c r="P28" s="28"/>
    </row>
    <row r="29" spans="6:16" ht="15.75" thickBot="1" x14ac:dyDescent="0.3">
      <c r="F29" s="58"/>
      <c r="G29" s="59"/>
      <c r="H29" s="59"/>
      <c r="I29" s="59"/>
      <c r="J29" s="59"/>
      <c r="K29" s="59"/>
      <c r="L29" s="59"/>
      <c r="M29" s="59"/>
      <c r="N29" s="59"/>
      <c r="O29" s="60"/>
      <c r="P29" s="28"/>
    </row>
    <row r="30" spans="6:16" ht="15.75" thickTop="1" x14ac:dyDescent="0.25">
      <c r="P30" s="23"/>
    </row>
    <row r="31" spans="6:16" x14ac:dyDescent="0.25">
      <c r="P31" s="23"/>
    </row>
    <row r="32" spans="6:16" x14ac:dyDescent="0.25">
      <c r="P32" s="23"/>
    </row>
  </sheetData>
  <mergeCells count="30">
    <mergeCell ref="F7:O7"/>
    <mergeCell ref="F8:O8"/>
    <mergeCell ref="G9:H9"/>
    <mergeCell ref="J9:L9"/>
    <mergeCell ref="N9:O9"/>
    <mergeCell ref="G10:O10"/>
    <mergeCell ref="G11:O11"/>
    <mergeCell ref="G12:J12"/>
    <mergeCell ref="L12:O12"/>
    <mergeCell ref="F13:J13"/>
    <mergeCell ref="K13:O13"/>
    <mergeCell ref="F14:J14"/>
    <mergeCell ref="K14:O14"/>
    <mergeCell ref="F15:J15"/>
    <mergeCell ref="K15:O15"/>
    <mergeCell ref="F16:J16"/>
    <mergeCell ref="K16:O16"/>
    <mergeCell ref="F17:J17"/>
    <mergeCell ref="K17:O17"/>
    <mergeCell ref="F18:J18"/>
    <mergeCell ref="K18:O18"/>
    <mergeCell ref="F19:J19"/>
    <mergeCell ref="K19:O19"/>
    <mergeCell ref="F23:O29"/>
    <mergeCell ref="F20:J20"/>
    <mergeCell ref="K20:O20"/>
    <mergeCell ref="F21:J21"/>
    <mergeCell ref="K21:O21"/>
    <mergeCell ref="F22:J22"/>
    <mergeCell ref="L22:O22"/>
  </mergeCells>
  <dataValidations count="2">
    <dataValidation type="list" allowBlank="1" showInputMessage="1" showErrorMessage="1" sqref="S2" xr:uid="{F67CF77D-AFCF-4CCD-BE6B-85C6E6C085FA}">
      <formula1>anomes</formula1>
    </dataValidation>
    <dataValidation type="list" allowBlank="1" showInputMessage="1" showErrorMessage="1" sqref="S3" xr:uid="{29020C67-9B00-40F8-9825-77C1E2DB2720}">
      <formula1>locatario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aoAlterarRegistroLocatari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otaoMenuPrincip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otaoVisualizarRegistro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BotaoControleLocatarioImovel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BotaoAlterarRegistroImoveis">
                <anchor moveWithCells="1" sizeWithCells="1">
                  <from>
                    <xdr:col>1</xdr:col>
                    <xdr:colOff>0</xdr:colOff>
                    <xdr:row>9</xdr:row>
                    <xdr:rowOff>180975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BotaoAlterarRegistroContas">
                <anchor moveWithCells="1" sizeWithCells="1">
                  <from>
                    <xdr:col>0</xdr:col>
                    <xdr:colOff>600075</xdr:colOff>
                    <xdr:row>15</xdr:row>
                    <xdr:rowOff>180975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ModoEdicao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BotaoEnvio">
                <anchor moveWithCells="1" siz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BotaoCaminho">
                <anchor moveWithCells="1" siz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9CB20-11A1-43EE-B775-CE55DD7D7D34}">
  <sheetPr codeName="Sheet3"/>
  <dimension ref="F1:G6"/>
  <sheetViews>
    <sheetView tabSelected="1" workbookViewId="0">
      <selection activeCell="I5" sqref="I5"/>
    </sheetView>
  </sheetViews>
  <sheetFormatPr defaultRowHeight="15" x14ac:dyDescent="0.25"/>
  <sheetData>
    <row r="1" spans="6:7" ht="15.75" thickBot="1" x14ac:dyDescent="0.3"/>
    <row r="2" spans="6:7" x14ac:dyDescent="0.25">
      <c r="F2" s="90" t="s">
        <v>21</v>
      </c>
      <c r="G2" s="91"/>
    </row>
    <row r="3" spans="6:7" ht="15.75" thickBot="1" x14ac:dyDescent="0.3">
      <c r="F3" s="92" t="s">
        <v>17</v>
      </c>
      <c r="G3" s="93"/>
    </row>
    <row r="4" spans="6:7" ht="15.75" thickBot="1" x14ac:dyDescent="0.3"/>
    <row r="5" spans="6:7" x14ac:dyDescent="0.25">
      <c r="F5" s="90" t="s">
        <v>25</v>
      </c>
      <c r="G5" s="91"/>
    </row>
    <row r="6" spans="6:7" ht="15.75" thickBot="1" x14ac:dyDescent="0.3">
      <c r="F6" s="92" t="s">
        <v>50</v>
      </c>
      <c r="G6" s="93"/>
    </row>
  </sheetData>
  <mergeCells count="4">
    <mergeCell ref="F2:G2"/>
    <mergeCell ref="F5:G5"/>
    <mergeCell ref="F3:G3"/>
    <mergeCell ref="F6:G6"/>
  </mergeCells>
  <dataValidations count="2">
    <dataValidation type="list" allowBlank="1" showInputMessage="1" showErrorMessage="1" sqref="F3:G3" xr:uid="{92EA1808-7872-48D4-A0E1-2527E89100A6}">
      <formula1>locatario</formula1>
    </dataValidation>
    <dataValidation type="list" allowBlank="1" showInputMessage="1" showErrorMessage="1" sqref="F6:G6" xr:uid="{C1B71804-E338-48CE-8695-12C37251FF83}">
      <formula1>imovel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BotaoMenuPrincip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BotaoVisualizarRegistro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0]!BotaoControleLocatarioImovel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Button 4">
              <controlPr defaultSize="0" print="0" autoFill="0" autoPict="0" macro="[0]!BotaoAlterarRegistroImoveis">
                <anchor moveWithCells="1" sizeWithCells="1">
                  <from>
                    <xdr:col>1</xdr:col>
                    <xdr:colOff>0</xdr:colOff>
                    <xdr:row>9</xdr:row>
                    <xdr:rowOff>180975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Button 5">
              <controlPr defaultSize="0" print="0" autoFill="0" autoPict="0" macro="[0]!BotaoAlterarRegistroLocatari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BotaoAlterarRegistroContas">
                <anchor moveWithCells="1" sizeWithCells="1">
                  <from>
                    <xdr:col>0</xdr:col>
                    <xdr:colOff>600075</xdr:colOff>
                    <xdr:row>15</xdr:row>
                    <xdr:rowOff>180975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0]!ModoEdicao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0" name="Button 9">
              <controlPr defaultSize="0" print="0" autoFill="0" autoPict="0" macro="[0]!AssociarLocatarioImovel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E784-F2FA-4F1D-9E64-F991BF2B6EE3}">
  <sheetPr codeName="Sheet4"/>
  <dimension ref="F1:N18"/>
  <sheetViews>
    <sheetView workbookViewId="0">
      <selection activeCell="I12" sqref="I12"/>
    </sheetView>
  </sheetViews>
  <sheetFormatPr defaultRowHeight="15" x14ac:dyDescent="0.25"/>
  <sheetData>
    <row r="1" spans="6:14" ht="15.75" thickBot="1" x14ac:dyDescent="0.3"/>
    <row r="2" spans="6:14" x14ac:dyDescent="0.25">
      <c r="F2" s="90" t="s">
        <v>25</v>
      </c>
      <c r="G2" s="91"/>
      <c r="I2" s="49" t="s">
        <v>67</v>
      </c>
      <c r="J2" s="39"/>
      <c r="K2" s="39"/>
      <c r="L2" s="39"/>
      <c r="M2" s="39"/>
      <c r="N2" s="40"/>
    </row>
    <row r="3" spans="6:14" ht="15.75" thickBot="1" x14ac:dyDescent="0.3">
      <c r="F3" s="94"/>
      <c r="G3" s="95"/>
      <c r="I3" s="50"/>
      <c r="J3" s="43"/>
      <c r="K3" s="43"/>
      <c r="L3" s="43"/>
      <c r="M3" s="43"/>
      <c r="N3" s="51"/>
    </row>
    <row r="4" spans="6:14" x14ac:dyDescent="0.25">
      <c r="I4" s="50"/>
      <c r="J4" s="43"/>
      <c r="K4" s="43"/>
      <c r="L4" s="43"/>
      <c r="M4" s="43"/>
      <c r="N4" s="51"/>
    </row>
    <row r="5" spans="6:14" x14ac:dyDescent="0.25">
      <c r="I5" s="52" t="s">
        <v>68</v>
      </c>
      <c r="J5" s="43"/>
      <c r="K5" s="43"/>
      <c r="L5" s="43"/>
      <c r="M5" s="43"/>
      <c r="N5" s="51"/>
    </row>
    <row r="6" spans="6:14" x14ac:dyDescent="0.25">
      <c r="I6" s="50"/>
      <c r="J6" s="43"/>
      <c r="K6" s="43"/>
      <c r="L6" s="43"/>
      <c r="M6" s="43"/>
      <c r="N6" s="51"/>
    </row>
    <row r="7" spans="6:14" x14ac:dyDescent="0.25">
      <c r="I7" s="50"/>
      <c r="J7" s="43"/>
      <c r="K7" s="43"/>
      <c r="L7" s="43"/>
      <c r="M7" s="43"/>
      <c r="N7" s="51"/>
    </row>
    <row r="8" spans="6:14" x14ac:dyDescent="0.25">
      <c r="I8" s="52" t="s">
        <v>69</v>
      </c>
      <c r="J8" s="43"/>
      <c r="K8" s="43"/>
      <c r="L8" s="43"/>
      <c r="M8" s="43"/>
      <c r="N8" s="51"/>
    </row>
    <row r="9" spans="6:14" x14ac:dyDescent="0.25">
      <c r="I9" s="50" t="s">
        <v>71</v>
      </c>
      <c r="J9" s="43"/>
      <c r="K9" s="43"/>
      <c r="L9" s="43"/>
      <c r="M9" s="43"/>
      <c r="N9" s="51"/>
    </row>
    <row r="10" spans="6:14" x14ac:dyDescent="0.25">
      <c r="I10" s="50"/>
      <c r="J10" s="43"/>
      <c r="K10" s="43"/>
      <c r="L10" s="43"/>
      <c r="M10" s="43"/>
      <c r="N10" s="51"/>
    </row>
    <row r="11" spans="6:14" x14ac:dyDescent="0.25">
      <c r="I11" s="52" t="s">
        <v>7</v>
      </c>
      <c r="J11" s="43"/>
      <c r="K11" s="43"/>
      <c r="L11" s="43"/>
      <c r="M11" s="43"/>
      <c r="N11" s="51"/>
    </row>
    <row r="12" spans="6:14" x14ac:dyDescent="0.25">
      <c r="I12" s="53">
        <v>24230321</v>
      </c>
      <c r="J12" s="43"/>
      <c r="K12" s="43"/>
      <c r="L12" s="43"/>
      <c r="M12" s="43"/>
      <c r="N12" s="51"/>
    </row>
    <row r="13" spans="6:14" x14ac:dyDescent="0.25">
      <c r="I13" s="50"/>
      <c r="J13" s="43"/>
      <c r="K13" s="43"/>
      <c r="L13" s="43"/>
      <c r="M13" s="43"/>
      <c r="N13" s="51"/>
    </row>
    <row r="14" spans="6:14" x14ac:dyDescent="0.25">
      <c r="I14" s="52" t="s">
        <v>70</v>
      </c>
      <c r="J14" s="43"/>
      <c r="K14" s="43"/>
      <c r="L14" s="43"/>
      <c r="M14" s="43"/>
      <c r="N14" s="51"/>
    </row>
    <row r="15" spans="6:14" x14ac:dyDescent="0.25">
      <c r="I15" s="96"/>
      <c r="J15" s="97"/>
      <c r="K15" s="97"/>
      <c r="L15" s="97"/>
      <c r="M15" s="97"/>
      <c r="N15" s="98"/>
    </row>
    <row r="16" spans="6:14" x14ac:dyDescent="0.25">
      <c r="I16" s="96"/>
      <c r="J16" s="97"/>
      <c r="K16" s="97"/>
      <c r="L16" s="97"/>
      <c r="M16" s="97"/>
      <c r="N16" s="98"/>
    </row>
    <row r="17" spans="9:14" x14ac:dyDescent="0.25">
      <c r="I17" s="96"/>
      <c r="J17" s="97"/>
      <c r="K17" s="97"/>
      <c r="L17" s="97"/>
      <c r="M17" s="97"/>
      <c r="N17" s="98"/>
    </row>
    <row r="18" spans="9:14" ht="15.75" thickBot="1" x14ac:dyDescent="0.3">
      <c r="I18" s="99"/>
      <c r="J18" s="100"/>
      <c r="K18" s="100"/>
      <c r="L18" s="100"/>
      <c r="M18" s="100"/>
      <c r="N18" s="101"/>
    </row>
  </sheetData>
  <mergeCells count="3">
    <mergeCell ref="F2:G2"/>
    <mergeCell ref="F3:G3"/>
    <mergeCell ref="I15:N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otaoMenuPrincip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BotaoVisualizarRegistro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otaoControleLocatarioImovel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BotaoAlterarRegistroImovei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BotaoAlterarRegistroLocatari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otaoAlterarRegistroConta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ModoEdicao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ModoEdicao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ModoEdicao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ModoEdicao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0E7BF-8C63-4A5C-AE84-BF11595E48A2}">
  <sheetPr codeName="Sheet5"/>
  <dimension ref="A1"/>
  <sheetViews>
    <sheetView workbookViewId="0">
      <selection activeCell="I12" sqref="I1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otaoMenuPrincip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otaoVisualizarRegistro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BotaoControleLocatarioImovel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BotaoAlterarRegistroImovei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BotaoAlterarRegistroLocatari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BotaoAlterarRegistroContas">
                <anchor moveWithCells="1" sizeWithCells="1">
                  <from>
                    <xdr:col>0</xdr:col>
                    <xdr:colOff>600075</xdr:colOff>
                    <xdr:row>15</xdr:row>
                    <xdr:rowOff>180975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9" name="Button 7">
              <controlPr defaultSize="0" print="0" autoFill="0" autoPict="0" macro="[0]!ModoEdicao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BE3C1-7B25-45C4-8346-4F557AB57B42}">
  <sheetPr codeName="Sheet6"/>
  <dimension ref="A1"/>
  <sheetViews>
    <sheetView workbookViewId="0">
      <selection activeCell="I12" sqref="I1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otaoMenuPrincipal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otaoVisualizarRegistro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BotaoControleLocatarioImovel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BotaoAlterarRegistroImovei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BotaoAlterarRegistroLocatarios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Button 6">
              <controlPr defaultSize="0" print="0" autoFill="0" autoPict="0" macro="[0]!BotaoAlterarRegistroContas">
                <anchor moveWithCells="1" sizeWithCells="1">
                  <from>
                    <xdr:col>0</xdr:col>
                    <xdr:colOff>600075</xdr:colOff>
                    <xdr:row>15</xdr:row>
                    <xdr:rowOff>180975</xdr:rowOff>
                  </from>
                  <to>
                    <xdr:col>4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9" name="Button 7">
              <controlPr defaultSize="0" print="0" autoFill="0" autoPict="0" macro="[0]!ModoEdicao">
                <anchor moveWithCells="1" sizeWithCells="1">
                  <from>
                    <xdr:col>1</xdr:col>
                    <xdr:colOff>0</xdr:colOff>
                    <xdr:row>19</xdr:row>
                    <xdr:rowOff>0</xdr:rowOff>
                  </from>
                  <to>
                    <xdr:col>4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D382-5691-42AF-BDCE-3604BB3DADFC}">
  <sheetPr codeName="Sheet7"/>
  <dimension ref="A2:AM17"/>
  <sheetViews>
    <sheetView workbookViewId="0">
      <selection activeCell="A11" sqref="A11"/>
    </sheetView>
  </sheetViews>
  <sheetFormatPr defaultRowHeight="15" x14ac:dyDescent="0.25"/>
  <cols>
    <col min="5" max="6" width="11.140625" customWidth="1"/>
    <col min="7" max="17" width="15.42578125" customWidth="1"/>
    <col min="19" max="19" width="14" customWidth="1"/>
    <col min="20" max="20" width="12.140625" customWidth="1"/>
    <col min="21" max="21" width="9.28515625" customWidth="1"/>
    <col min="24" max="24" width="9.5703125" customWidth="1"/>
    <col min="25" max="25" width="9.28515625" customWidth="1"/>
    <col min="26" max="26" width="9.5703125" customWidth="1"/>
    <col min="27" max="27" width="9.28515625" customWidth="1"/>
    <col min="28" max="28" width="9.5703125" customWidth="1"/>
    <col min="29" max="29" width="9.28515625" customWidth="1"/>
    <col min="30" max="30" width="9.5703125" customWidth="1"/>
    <col min="31" max="31" width="9.28515625" customWidth="1"/>
    <col min="32" max="32" width="9.5703125" customWidth="1"/>
    <col min="33" max="33" width="9.28515625" customWidth="1"/>
    <col min="34" max="34" width="9.5703125" customWidth="1"/>
    <col min="35" max="35" width="9.28515625" customWidth="1"/>
    <col min="36" max="36" width="9.5703125" customWidth="1"/>
    <col min="37" max="37" width="9.28515625" customWidth="1"/>
    <col min="38" max="38" width="9.5703125" customWidth="1"/>
    <col min="39" max="39" width="9.28515625" customWidth="1"/>
  </cols>
  <sheetData>
    <row r="2" spans="1:39" x14ac:dyDescent="0.25">
      <c r="A2" t="s">
        <v>20</v>
      </c>
      <c r="B2" t="s">
        <v>21</v>
      </c>
      <c r="C2" t="s">
        <v>25</v>
      </c>
      <c r="E2" t="s">
        <v>20</v>
      </c>
      <c r="F2" t="s">
        <v>21</v>
      </c>
      <c r="G2" t="s">
        <v>22</v>
      </c>
      <c r="H2" t="s">
        <v>56</v>
      </c>
      <c r="I2" t="s">
        <v>57</v>
      </c>
      <c r="J2" t="s">
        <v>58</v>
      </c>
      <c r="K2" t="s">
        <v>59</v>
      </c>
      <c r="L2" t="s">
        <v>60</v>
      </c>
      <c r="M2" t="s">
        <v>61</v>
      </c>
      <c r="N2" t="s">
        <v>62</v>
      </c>
      <c r="O2" t="s">
        <v>63</v>
      </c>
      <c r="P2" t="s">
        <v>64</v>
      </c>
      <c r="Q2" t="s">
        <v>65</v>
      </c>
      <c r="R2" t="s">
        <v>23</v>
      </c>
      <c r="S2" t="s">
        <v>24</v>
      </c>
      <c r="T2" t="s">
        <v>54</v>
      </c>
      <c r="U2" t="s">
        <v>25</v>
      </c>
      <c r="V2" t="s">
        <v>26</v>
      </c>
      <c r="W2" t="s">
        <v>7</v>
      </c>
      <c r="X2" t="s">
        <v>27</v>
      </c>
      <c r="Y2" t="s">
        <v>28</v>
      </c>
      <c r="Z2" t="s">
        <v>29</v>
      </c>
      <c r="AA2" t="s">
        <v>30</v>
      </c>
      <c r="AB2" t="s">
        <v>31</v>
      </c>
      <c r="AC2" t="s">
        <v>32</v>
      </c>
      <c r="AD2" t="s">
        <v>33</v>
      </c>
      <c r="AE2" t="s">
        <v>34</v>
      </c>
      <c r="AF2" t="s">
        <v>35</v>
      </c>
      <c r="AG2" t="s">
        <v>36</v>
      </c>
      <c r="AH2" t="s">
        <v>37</v>
      </c>
      <c r="AI2" t="s">
        <v>38</v>
      </c>
      <c r="AJ2" t="s">
        <v>39</v>
      </c>
      <c r="AK2" t="s">
        <v>40</v>
      </c>
      <c r="AL2" t="s">
        <v>41</v>
      </c>
      <c r="AM2" t="s">
        <v>42</v>
      </c>
    </row>
    <row r="3" spans="1:39" x14ac:dyDescent="0.25">
      <c r="A3" s="17" t="s">
        <v>14</v>
      </c>
      <c r="B3" t="s">
        <v>17</v>
      </c>
      <c r="C3" t="s">
        <v>49</v>
      </c>
      <c r="E3" s="17" t="s">
        <v>14</v>
      </c>
      <c r="F3" t="s">
        <v>17</v>
      </c>
      <c r="G3" t="str">
        <f>CONCATENATE(E3, " - ", F3)</f>
        <v>2020-01 - XP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t="s">
        <v>43</v>
      </c>
      <c r="S3" s="17">
        <v>43835</v>
      </c>
      <c r="T3" t="s">
        <v>46</v>
      </c>
      <c r="U3" t="s">
        <v>49</v>
      </c>
      <c r="V3">
        <v>11111</v>
      </c>
      <c r="W3">
        <v>44444</v>
      </c>
      <c r="X3" t="s">
        <v>52</v>
      </c>
      <c r="Y3">
        <v>123</v>
      </c>
      <c r="Z3" t="s">
        <v>53</v>
      </c>
      <c r="AA3">
        <v>12</v>
      </c>
    </row>
    <row r="4" spans="1:39" x14ac:dyDescent="0.25">
      <c r="A4" s="17" t="s">
        <v>15</v>
      </c>
      <c r="B4" t="s">
        <v>18</v>
      </c>
      <c r="C4" t="s">
        <v>50</v>
      </c>
      <c r="E4" s="17" t="s">
        <v>14</v>
      </c>
      <c r="F4" t="s">
        <v>18</v>
      </c>
      <c r="G4" t="str">
        <f t="shared" ref="G4:G11" si="0">CONCATENATE(E4, " - ", F4)</f>
        <v>2020-01 - BTG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t="s">
        <v>43</v>
      </c>
      <c r="S4" s="17">
        <v>43835</v>
      </c>
      <c r="T4" t="s">
        <v>47</v>
      </c>
      <c r="U4" t="s">
        <v>50</v>
      </c>
      <c r="V4">
        <v>22222</v>
      </c>
      <c r="W4">
        <v>55555</v>
      </c>
      <c r="X4" t="s">
        <v>52</v>
      </c>
      <c r="Y4">
        <v>456</v>
      </c>
      <c r="Z4" t="s">
        <v>53</v>
      </c>
      <c r="AA4">
        <v>45</v>
      </c>
    </row>
    <row r="5" spans="1:39" x14ac:dyDescent="0.25">
      <c r="A5" s="17" t="s">
        <v>16</v>
      </c>
      <c r="B5" t="s">
        <v>19</v>
      </c>
      <c r="C5" t="s">
        <v>51</v>
      </c>
      <c r="E5" s="17" t="s">
        <v>14</v>
      </c>
      <c r="F5" t="s">
        <v>19</v>
      </c>
      <c r="G5" t="str">
        <f t="shared" si="0"/>
        <v>2020-01 - Modal</v>
      </c>
      <c r="H5" s="22"/>
      <c r="I5" s="22"/>
      <c r="J5" s="22"/>
      <c r="K5" s="22"/>
      <c r="L5" s="22"/>
      <c r="M5" s="22"/>
      <c r="N5" s="22"/>
      <c r="O5" s="22"/>
      <c r="P5" s="22"/>
      <c r="Q5" s="22"/>
      <c r="R5" t="s">
        <v>43</v>
      </c>
      <c r="S5" s="17">
        <v>43835</v>
      </c>
      <c r="T5" t="s">
        <v>48</v>
      </c>
      <c r="U5" t="s">
        <v>51</v>
      </c>
      <c r="V5">
        <v>33333</v>
      </c>
      <c r="W5">
        <v>66666</v>
      </c>
      <c r="X5" t="s">
        <v>52</v>
      </c>
      <c r="Y5">
        <v>789</v>
      </c>
      <c r="Z5" t="s">
        <v>53</v>
      </c>
      <c r="AA5">
        <v>78</v>
      </c>
    </row>
    <row r="6" spans="1:39" x14ac:dyDescent="0.25">
      <c r="E6" s="17" t="s">
        <v>15</v>
      </c>
      <c r="F6" t="s">
        <v>17</v>
      </c>
      <c r="G6" t="str">
        <f t="shared" si="0"/>
        <v>2020-02 - XP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t="s">
        <v>44</v>
      </c>
      <c r="S6" s="17">
        <v>43866</v>
      </c>
      <c r="T6" t="s">
        <v>46</v>
      </c>
      <c r="U6" t="s">
        <v>49</v>
      </c>
      <c r="V6">
        <v>11111</v>
      </c>
      <c r="W6">
        <v>44444</v>
      </c>
      <c r="X6" t="s">
        <v>52</v>
      </c>
      <c r="Y6">
        <v>123</v>
      </c>
      <c r="Z6" t="s">
        <v>53</v>
      </c>
      <c r="AA6">
        <v>12</v>
      </c>
    </row>
    <row r="7" spans="1:39" x14ac:dyDescent="0.25">
      <c r="E7" s="17" t="s">
        <v>15</v>
      </c>
      <c r="F7" t="s">
        <v>18</v>
      </c>
      <c r="G7" t="str">
        <f t="shared" si="0"/>
        <v>2020-02 - BTG</v>
      </c>
      <c r="H7" s="22"/>
      <c r="I7" s="22"/>
      <c r="J7" s="22"/>
      <c r="K7" s="22"/>
      <c r="L7" s="22"/>
      <c r="M7" s="22"/>
      <c r="N7" s="22"/>
      <c r="O7" s="22"/>
      <c r="P7" s="22"/>
      <c r="Q7" s="22"/>
      <c r="R7" t="s">
        <v>44</v>
      </c>
      <c r="S7" s="17">
        <v>43866</v>
      </c>
      <c r="T7" t="s">
        <v>47</v>
      </c>
      <c r="U7" t="s">
        <v>50</v>
      </c>
      <c r="V7">
        <v>22222</v>
      </c>
      <c r="W7">
        <v>55555</v>
      </c>
      <c r="X7" t="s">
        <v>52</v>
      </c>
      <c r="Y7">
        <v>456</v>
      </c>
      <c r="Z7" t="s">
        <v>53</v>
      </c>
      <c r="AA7">
        <v>45</v>
      </c>
    </row>
    <row r="8" spans="1:39" x14ac:dyDescent="0.25">
      <c r="E8" s="17" t="s">
        <v>15</v>
      </c>
      <c r="F8" t="s">
        <v>19</v>
      </c>
      <c r="G8" t="str">
        <f t="shared" si="0"/>
        <v>2020-02 - Modal</v>
      </c>
      <c r="H8" s="22"/>
      <c r="I8" s="22"/>
      <c r="J8" s="22"/>
      <c r="K8" s="22"/>
      <c r="L8" s="22"/>
      <c r="M8" s="22"/>
      <c r="N8" s="22"/>
      <c r="O8" s="22"/>
      <c r="P8" s="22"/>
      <c r="Q8" s="22"/>
      <c r="R8" t="s">
        <v>44</v>
      </c>
      <c r="S8" s="17">
        <v>43866</v>
      </c>
      <c r="T8" t="s">
        <v>48</v>
      </c>
      <c r="U8" t="s">
        <v>51</v>
      </c>
      <c r="V8">
        <v>33333</v>
      </c>
      <c r="W8">
        <v>66666</v>
      </c>
      <c r="X8" t="s">
        <v>52</v>
      </c>
      <c r="Y8">
        <v>789</v>
      </c>
      <c r="Z8" t="s">
        <v>53</v>
      </c>
      <c r="AA8">
        <v>78</v>
      </c>
    </row>
    <row r="9" spans="1:39" x14ac:dyDescent="0.25">
      <c r="E9" s="17" t="s">
        <v>16</v>
      </c>
      <c r="F9" t="s">
        <v>17</v>
      </c>
      <c r="G9" t="str">
        <f t="shared" si="0"/>
        <v>2020-03 - XP</v>
      </c>
      <c r="H9" s="22"/>
      <c r="I9" s="22"/>
      <c r="J9" s="22"/>
      <c r="K9" s="22"/>
      <c r="L9" s="22"/>
      <c r="M9" s="22"/>
      <c r="N9" s="22"/>
      <c r="O9" s="22"/>
      <c r="P9" s="22"/>
      <c r="Q9" s="22"/>
      <c r="R9" t="s">
        <v>45</v>
      </c>
      <c r="S9" s="17">
        <v>43895</v>
      </c>
      <c r="T9" t="s">
        <v>46</v>
      </c>
      <c r="U9" t="s">
        <v>49</v>
      </c>
      <c r="V9">
        <v>11111</v>
      </c>
      <c r="W9">
        <v>44444</v>
      </c>
      <c r="X9" t="s">
        <v>52</v>
      </c>
      <c r="Y9">
        <v>123</v>
      </c>
      <c r="Z9" t="s">
        <v>53</v>
      </c>
      <c r="AA9">
        <v>12</v>
      </c>
    </row>
    <row r="10" spans="1:39" x14ac:dyDescent="0.25">
      <c r="E10" s="17" t="s">
        <v>16</v>
      </c>
      <c r="F10" t="s">
        <v>18</v>
      </c>
      <c r="G10" t="str">
        <f t="shared" si="0"/>
        <v>2020-03 - BTG</v>
      </c>
      <c r="H10" s="22"/>
      <c r="I10" s="22"/>
      <c r="J10" s="22"/>
      <c r="K10" s="22"/>
      <c r="L10" s="22"/>
      <c r="M10" s="22"/>
      <c r="N10" s="22"/>
      <c r="O10" s="22"/>
      <c r="P10" s="22"/>
      <c r="Q10" s="22"/>
      <c r="R10" t="s">
        <v>45</v>
      </c>
      <c r="S10" s="17">
        <v>43895</v>
      </c>
      <c r="T10" t="s">
        <v>47</v>
      </c>
      <c r="U10" t="s">
        <v>50</v>
      </c>
      <c r="V10">
        <v>22222</v>
      </c>
      <c r="W10">
        <v>55555</v>
      </c>
      <c r="X10" t="s">
        <v>52</v>
      </c>
      <c r="Y10">
        <v>456</v>
      </c>
      <c r="Z10" t="s">
        <v>53</v>
      </c>
      <c r="AA10">
        <v>45</v>
      </c>
    </row>
    <row r="11" spans="1:39" x14ac:dyDescent="0.25">
      <c r="E11" s="17" t="s">
        <v>16</v>
      </c>
      <c r="F11" t="s">
        <v>19</v>
      </c>
      <c r="G11" t="str">
        <f t="shared" si="0"/>
        <v>2020-03 - Modal</v>
      </c>
      <c r="H11" s="22"/>
      <c r="I11" s="22"/>
      <c r="J11" s="22"/>
      <c r="K11" s="22"/>
      <c r="L11" s="22"/>
      <c r="M11" s="22"/>
      <c r="N11" s="22"/>
      <c r="O11" s="22"/>
      <c r="P11" s="22"/>
      <c r="Q11" s="22"/>
      <c r="R11" t="s">
        <v>45</v>
      </c>
      <c r="S11" s="17">
        <v>43895</v>
      </c>
      <c r="T11" t="s">
        <v>48</v>
      </c>
      <c r="U11" t="s">
        <v>51</v>
      </c>
      <c r="V11">
        <v>33333</v>
      </c>
      <c r="W11">
        <v>66666</v>
      </c>
      <c r="X11" t="s">
        <v>52</v>
      </c>
      <c r="Y11">
        <v>789</v>
      </c>
      <c r="Z11" t="s">
        <v>53</v>
      </c>
      <c r="AA11">
        <v>78</v>
      </c>
    </row>
    <row r="12" spans="1:39" x14ac:dyDescent="0.25">
      <c r="E12" s="17"/>
    </row>
    <row r="13" spans="1:39" x14ac:dyDescent="0.25">
      <c r="E13" s="17"/>
    </row>
    <row r="14" spans="1:39" x14ac:dyDescent="0.25">
      <c r="E14" s="17"/>
    </row>
    <row r="15" spans="1:39" x14ac:dyDescent="0.25">
      <c r="E15" s="17"/>
    </row>
    <row r="16" spans="1:39" x14ac:dyDescent="0.25">
      <c r="E16" s="17"/>
    </row>
    <row r="17" spans="5:5" x14ac:dyDescent="0.25">
      <c r="E17" s="17"/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5A25F0-18FA-48AF-AEBB-A7D7809CA663}">
  <sheetPr codeName="Sheet8"/>
  <dimension ref="A1:Y33"/>
  <sheetViews>
    <sheetView workbookViewId="0">
      <selection activeCell="O7" sqref="O7:P7"/>
    </sheetView>
  </sheetViews>
  <sheetFormatPr defaultRowHeight="15" x14ac:dyDescent="0.25"/>
  <cols>
    <col min="1" max="1" width="2.85546875" style="1" customWidth="1"/>
    <col min="2" max="2" width="11.42578125" style="1" customWidth="1"/>
    <col min="3" max="3" width="9.140625" style="1"/>
    <col min="4" max="4" width="5.7109375" style="1" customWidth="1"/>
    <col min="5" max="7" width="9.140625" style="1"/>
    <col min="8" max="8" width="5.7109375" style="1" customWidth="1"/>
    <col min="9" max="12" width="9.140625" style="1"/>
    <col min="13" max="13" width="27.42578125" style="1" bestFit="1" customWidth="1"/>
    <col min="14" max="14" width="9.140625" style="1"/>
    <col min="15" max="15" width="13.42578125" style="1" bestFit="1" customWidth="1"/>
    <col min="16" max="16" width="15" style="1" bestFit="1" customWidth="1"/>
    <col min="17" max="16384" width="9.140625" style="1"/>
  </cols>
  <sheetData>
    <row r="1" spans="1:25" x14ac:dyDescent="0.25">
      <c r="S1" s="31"/>
      <c r="T1" s="31"/>
      <c r="U1" s="31"/>
      <c r="V1" s="31"/>
      <c r="W1" s="31"/>
      <c r="X1" s="31"/>
      <c r="Y1" s="31"/>
    </row>
    <row r="2" spans="1:25" ht="15.75" thickBot="1" x14ac:dyDescent="0.3">
      <c r="O2" s="1" t="s">
        <v>22</v>
      </c>
      <c r="P2" s="1" t="str">
        <f>CONCATENATE(P3, " - ",P4)</f>
        <v>2020-02 - Modal</v>
      </c>
    </row>
    <row r="3" spans="1:25" x14ac:dyDescent="0.25">
      <c r="A3" s="23"/>
      <c r="B3" s="2"/>
      <c r="C3" s="3"/>
      <c r="D3" s="3"/>
      <c r="E3" s="3"/>
      <c r="F3" s="3"/>
      <c r="G3" s="3"/>
      <c r="H3" s="3"/>
      <c r="I3" s="3"/>
      <c r="J3" s="3"/>
      <c r="K3" s="4"/>
      <c r="L3" s="23"/>
      <c r="M3" s="34" t="s">
        <v>66</v>
      </c>
      <c r="O3" s="35" t="s">
        <v>23</v>
      </c>
      <c r="P3" s="19" t="str">
        <f>Aviso!O2</f>
        <v>2020-02</v>
      </c>
    </row>
    <row r="4" spans="1:25" ht="15.75" thickBot="1" x14ac:dyDescent="0.3">
      <c r="A4" s="23"/>
      <c r="B4" s="5"/>
      <c r="K4" s="6"/>
      <c r="L4" s="23"/>
      <c r="M4" s="32" t="str">
        <f>IF(VLOOKUP(Modelo!$P$2, Tabela!$G$3:$AM$11, 2, FALSE)=0,"",VLOOKUP(Modelo!$P$2, Tabela!$G$3:$AM$11, 2, FALSE))</f>
        <v/>
      </c>
      <c r="O4" s="36" t="s">
        <v>21</v>
      </c>
      <c r="P4" s="21" t="str">
        <f>Aviso!O3</f>
        <v>Modal</v>
      </c>
    </row>
    <row r="5" spans="1:25" ht="15.75" thickBot="1" x14ac:dyDescent="0.3">
      <c r="A5" s="23"/>
      <c r="B5" s="5"/>
      <c r="K5" s="6"/>
      <c r="L5" s="23"/>
      <c r="M5" s="32" t="str">
        <f>IF(VLOOKUP(Modelo!$P$2, Tabela!$G$3:$AM$11, 3, FALSE)=0,"",VLOOKUP(Modelo!$P$2, Tabela!$G$3:$AM$11, 3, FALSE))</f>
        <v/>
      </c>
    </row>
    <row r="6" spans="1:25" x14ac:dyDescent="0.25">
      <c r="A6" s="23"/>
      <c r="B6" s="5"/>
      <c r="K6" s="6"/>
      <c r="L6" s="23"/>
      <c r="M6" s="32" t="str">
        <f>IF(VLOOKUP(Modelo!$P$2, Tabela!$G$3:$AM$11, 4, FALSE)=0,"",VLOOKUP(Modelo!$P$2, Tabela!$G$3:$AM$11, 4, FALSE))</f>
        <v/>
      </c>
      <c r="O6" s="90" t="s">
        <v>55</v>
      </c>
      <c r="P6" s="91"/>
    </row>
    <row r="7" spans="1:25" ht="19.5" customHeight="1" thickBot="1" x14ac:dyDescent="0.3">
      <c r="A7" s="23"/>
      <c r="B7" s="5"/>
      <c r="K7" s="6"/>
      <c r="L7" s="23"/>
      <c r="M7" s="32" t="str">
        <f>IF(VLOOKUP(Modelo!$P$2, Tabela!$G$3:$AM$11, 5, FALSE)=0,"",VLOOKUP(Modelo!$P$2, Tabela!$G$3:$AM$11, 5, FALSE))</f>
        <v/>
      </c>
      <c r="O7" s="122"/>
      <c r="P7" s="123"/>
    </row>
    <row r="8" spans="1:25" s="7" customFormat="1" ht="24" customHeight="1" x14ac:dyDescent="0.25">
      <c r="A8" s="24"/>
      <c r="B8" s="82" t="s">
        <v>0</v>
      </c>
      <c r="C8" s="102"/>
      <c r="D8" s="102"/>
      <c r="E8" s="102"/>
      <c r="F8" s="102"/>
      <c r="G8" s="102"/>
      <c r="H8" s="102"/>
      <c r="I8" s="102"/>
      <c r="J8" s="102"/>
      <c r="K8" s="84"/>
      <c r="L8" s="24"/>
      <c r="M8" s="32" t="str">
        <f>IF(VLOOKUP(Modelo!$P$2, Tabela!$G$3:$AM$11, 6, FALSE)=0,"",VLOOKUP(Modelo!$P$2, Tabela!$G$3:$AM$11, 6, FALSE))</f>
        <v/>
      </c>
    </row>
    <row r="9" spans="1:25" s="7" customFormat="1" ht="15.75" thickBot="1" x14ac:dyDescent="0.3">
      <c r="A9" s="24"/>
      <c r="B9" s="103"/>
      <c r="C9" s="104"/>
      <c r="D9" s="104"/>
      <c r="E9" s="104"/>
      <c r="F9" s="104"/>
      <c r="G9" s="104"/>
      <c r="H9" s="104"/>
      <c r="I9" s="104"/>
      <c r="J9" s="104"/>
      <c r="K9" s="105"/>
      <c r="L9" s="24"/>
      <c r="M9" s="32" t="str">
        <f>IF(VLOOKUP(Modelo!$P$2, Tabela!$G$3:$AM$11, 7, FALSE)=0,"",VLOOKUP(Modelo!$P$2, Tabela!$G$3:$AM$11, 7, FALSE))</f>
        <v/>
      </c>
    </row>
    <row r="10" spans="1:25" ht="24" customHeight="1" thickTop="1" x14ac:dyDescent="0.25">
      <c r="A10" s="25"/>
      <c r="B10" s="8" t="s">
        <v>1</v>
      </c>
      <c r="C10" s="106"/>
      <c r="D10" s="107"/>
      <c r="E10" s="9" t="s">
        <v>2</v>
      </c>
      <c r="F10" s="108" t="str">
        <f>IF(VLOOKUP(Modelo!P2, Tabela!G3:AM11, 12, FALSE)=0,"",VLOOKUP(Modelo!P2, Tabela!G3:AM11, 12, FALSE))</f>
        <v>Fevereiro</v>
      </c>
      <c r="G10" s="109"/>
      <c r="H10" s="110"/>
      <c r="I10" s="9" t="s">
        <v>3</v>
      </c>
      <c r="J10" s="111">
        <f>IF(VLOOKUP(Modelo!P2, Tabela!G3:AM11, 13, FALSE)=0,"",VLOOKUP(Modelo!P2, Tabela!G3:AM11, 13, FALSE))</f>
        <v>43866</v>
      </c>
      <c r="K10" s="112"/>
      <c r="L10" s="25"/>
      <c r="M10" s="32" t="str">
        <f>IF(VLOOKUP(Modelo!$P$2, Tabela!$G$3:$AM$11, 8, FALSE)=0,"",VLOOKUP(Modelo!$P$2, Tabela!$G$3:$AM$11, 8, FALSE))</f>
        <v/>
      </c>
    </row>
    <row r="11" spans="1:25" ht="24" customHeight="1" x14ac:dyDescent="0.25">
      <c r="A11" s="26"/>
      <c r="B11" s="10" t="s">
        <v>4</v>
      </c>
      <c r="C11" s="113" t="str">
        <f>IF(VLOOKUP(Modelo!P2, Tabela!G3:AM11, 14, FALSE)=0,"",VLOOKUP(Modelo!P2, Tabela!G3:AM11, 14, FALSE))</f>
        <v>Modal Mais</v>
      </c>
      <c r="D11" s="68"/>
      <c r="E11" s="68"/>
      <c r="F11" s="68"/>
      <c r="G11" s="68"/>
      <c r="H11" s="68"/>
      <c r="I11" s="68"/>
      <c r="J11" s="68"/>
      <c r="K11" s="114"/>
      <c r="L11" s="26"/>
      <c r="M11" s="32" t="str">
        <f>IF(VLOOKUP(Modelo!$P$2, Tabela!$G$3:$AM$11, 9, FALSE)=0,"",VLOOKUP(Modelo!$P$2, Tabela!$G$3:$AM$11, 9, FALSE))</f>
        <v/>
      </c>
    </row>
    <row r="12" spans="1:25" ht="24" customHeight="1" x14ac:dyDescent="0.25">
      <c r="A12" s="26"/>
      <c r="B12" s="10" t="s">
        <v>5</v>
      </c>
      <c r="C12" s="113" t="str">
        <f>IF(VLOOKUP(Modelo!P2, Tabela!G3:AM11, 15, FALSE)=0,"",VLOOKUP(Modelo!P2, Tabela!G3:AM11, 15, FALSE))</f>
        <v>Ventura</v>
      </c>
      <c r="D12" s="68"/>
      <c r="E12" s="68"/>
      <c r="F12" s="68"/>
      <c r="G12" s="68"/>
      <c r="H12" s="68"/>
      <c r="I12" s="68"/>
      <c r="J12" s="68"/>
      <c r="K12" s="114"/>
      <c r="L12" s="26"/>
      <c r="M12" s="32" t="str">
        <f>IF(VLOOKUP(Modelo!$P$2, Tabela!$G$3:$AM$11, 10, FALSE)=0,"",VLOOKUP(Modelo!$P$2, Tabela!$G$3:$AM$11, 10, FALSE))</f>
        <v/>
      </c>
    </row>
    <row r="13" spans="1:25" ht="24" customHeight="1" thickBot="1" x14ac:dyDescent="0.3">
      <c r="A13" s="26"/>
      <c r="B13" s="10" t="s">
        <v>6</v>
      </c>
      <c r="C13" s="115">
        <f>IF(VLOOKUP(Modelo!P2, Tabela!G3:AM11, 16, FALSE)=0,"",VLOOKUP(Modelo!P2, Tabela!G3:AM11, 16, FALSE))</f>
        <v>33333</v>
      </c>
      <c r="D13" s="71"/>
      <c r="E13" s="71"/>
      <c r="F13" s="72"/>
      <c r="G13" s="30" t="s">
        <v>7</v>
      </c>
      <c r="H13" s="115">
        <f>IF(VLOOKUP(Modelo!P2, Tabela!G3:AM11, 17, FALSE)=0,"",VLOOKUP(Modelo!P2, Tabela!G3:AM11, 17, FALSE))</f>
        <v>66666</v>
      </c>
      <c r="I13" s="71"/>
      <c r="J13" s="71"/>
      <c r="K13" s="116"/>
      <c r="L13" s="26"/>
      <c r="M13" s="33" t="str">
        <f>IF(VLOOKUP(Modelo!$P$2, Tabela!$G$3:$AM$11, 11, FALSE)=0,"",VLOOKUP(Modelo!$P$2, Tabela!$G$3:$AM$11, 11, FALSE))</f>
        <v/>
      </c>
    </row>
    <row r="14" spans="1:25" ht="24" customHeight="1" x14ac:dyDescent="0.25">
      <c r="A14" s="24"/>
      <c r="B14" s="117" t="s">
        <v>8</v>
      </c>
      <c r="C14" s="118"/>
      <c r="D14" s="118"/>
      <c r="E14" s="118"/>
      <c r="F14" s="119"/>
      <c r="G14" s="120" t="s">
        <v>9</v>
      </c>
      <c r="H14" s="118"/>
      <c r="I14" s="118"/>
      <c r="J14" s="118"/>
      <c r="K14" s="121"/>
      <c r="L14" s="24"/>
      <c r="M14" s="24"/>
    </row>
    <row r="15" spans="1:25" ht="24" customHeight="1" x14ac:dyDescent="0.25">
      <c r="A15" s="27"/>
      <c r="B15" s="67" t="str">
        <f>IF(VLOOKUP(Modelo!P2, Tabela!G3:AM11, 18, FALSE)=0,"",VLOOKUP(Modelo!P2, Tabela!G3:AM11, 18, FALSE))</f>
        <v>Aluguel</v>
      </c>
      <c r="C15" s="68"/>
      <c r="D15" s="68"/>
      <c r="E15" s="68"/>
      <c r="F15" s="69"/>
      <c r="G15" s="73">
        <f>IF(VLOOKUP(Modelo!P2, Tabela!G3:AM11, 19, FALSE)=0,"",VLOOKUP(Modelo!P2, Tabela!G3:AM11, 19, FALSE))</f>
        <v>789</v>
      </c>
      <c r="H15" s="74"/>
      <c r="I15" s="74"/>
      <c r="J15" s="74"/>
      <c r="K15" s="75"/>
      <c r="L15" s="27"/>
      <c r="M15" s="27"/>
    </row>
    <row r="16" spans="1:25" ht="24" customHeight="1" x14ac:dyDescent="0.25">
      <c r="A16" s="27"/>
      <c r="B16" s="67" t="str">
        <f>IF(VLOOKUP(Modelo!P2, Tabela!G3:AM11, 20, FALSE)=0,"",VLOOKUP(Modelo!P2, Tabela!G3:AM11, 20, FALSE))</f>
        <v>Reembolso IPTU 01/10</v>
      </c>
      <c r="C16" s="68"/>
      <c r="D16" s="68"/>
      <c r="E16" s="68"/>
      <c r="F16" s="69"/>
      <c r="G16" s="73">
        <f>IF(VLOOKUP(Modelo!P2,Tabela!G3:AM11,21,FALSE)=0,"",VLOOKUP(Modelo!P2,Tabela!G3:AM11,21,FALSE))</f>
        <v>78</v>
      </c>
      <c r="H16" s="74"/>
      <c r="I16" s="74"/>
      <c r="J16" s="74"/>
      <c r="K16" s="75"/>
      <c r="L16" s="27"/>
      <c r="M16" s="27"/>
    </row>
    <row r="17" spans="1:13" ht="24" customHeight="1" x14ac:dyDescent="0.25">
      <c r="A17" s="27"/>
      <c r="B17" s="67" t="str">
        <f>IF(VLOOKUP(Modelo!P2, Tabela!G3:AM11, 22, FALSE)=0,"",VLOOKUP(Modelo!P2, Tabela!G3:AM11, 22, FALSE))</f>
        <v/>
      </c>
      <c r="C17" s="68"/>
      <c r="D17" s="68"/>
      <c r="E17" s="68"/>
      <c r="F17" s="69"/>
      <c r="G17" s="73" t="str">
        <f>IF(VLOOKUP(Modelo!P2, Tabela!G3:AM11, 23, FALSE)=0,"",VLOOKUP(Modelo!P2, Tabela!G3:AM11, 23, FALSE))</f>
        <v/>
      </c>
      <c r="H17" s="74"/>
      <c r="I17" s="74"/>
      <c r="J17" s="74"/>
      <c r="K17" s="75"/>
      <c r="L17" s="27"/>
      <c r="M17" s="27"/>
    </row>
    <row r="18" spans="1:13" ht="24" customHeight="1" x14ac:dyDescent="0.25">
      <c r="A18" s="27"/>
      <c r="B18" s="67" t="str">
        <f>IF(VLOOKUP(Modelo!P2, Tabela!G3:AM11, 24, FALSE)=0,"",VLOOKUP(Modelo!P2, Tabela!G3:AM11, 24, FALSE))</f>
        <v/>
      </c>
      <c r="C18" s="68"/>
      <c r="D18" s="68"/>
      <c r="E18" s="68"/>
      <c r="F18" s="69"/>
      <c r="G18" s="73" t="str">
        <f>IF(VLOOKUP(Modelo!P2, Tabela!G3:AM11, 25, FALSE)=0,"",VLOOKUP(Modelo!P2, Tabela!G3:AM11, 25, FALSE))</f>
        <v/>
      </c>
      <c r="H18" s="74"/>
      <c r="I18" s="74"/>
      <c r="J18" s="74"/>
      <c r="K18" s="75"/>
      <c r="L18" s="27"/>
      <c r="M18" s="27"/>
    </row>
    <row r="19" spans="1:13" ht="24" customHeight="1" x14ac:dyDescent="0.25">
      <c r="A19" s="27"/>
      <c r="B19" s="70" t="str">
        <f>IF(VLOOKUP(Modelo!P2, Tabela!G3:AM11, 26, FALSE)=0,"",VLOOKUP(Modelo!P2, Tabela!G3:AM11, 26, FALSE))</f>
        <v/>
      </c>
      <c r="C19" s="71"/>
      <c r="D19" s="71"/>
      <c r="E19" s="71"/>
      <c r="F19" s="72"/>
      <c r="G19" s="73" t="str">
        <f>IF(VLOOKUP(Modelo!P2, Tabela!G3:AM11, 27, FALSE)=0,"",VLOOKUP(Modelo!P2, Tabela!G3:AM11, 27, FALSE))</f>
        <v/>
      </c>
      <c r="H19" s="74"/>
      <c r="I19" s="74"/>
      <c r="J19" s="74"/>
      <c r="K19" s="75"/>
      <c r="L19" s="27"/>
      <c r="M19" s="27"/>
    </row>
    <row r="20" spans="1:13" ht="24" customHeight="1" x14ac:dyDescent="0.25">
      <c r="A20" s="27"/>
      <c r="B20" s="70" t="str">
        <f>IF(VLOOKUP(Modelo!P2, Tabela!G3:AM11, 28, FALSE)=0,"",VLOOKUP(Modelo!P2, Tabela!G3:AM11, 28, FALSE))</f>
        <v/>
      </c>
      <c r="C20" s="71"/>
      <c r="D20" s="71"/>
      <c r="E20" s="71"/>
      <c r="F20" s="72"/>
      <c r="G20" s="73" t="str">
        <f>IF(VLOOKUP(Modelo!P2, Tabela!G3:AM11, 29, FALSE)=0,"",VLOOKUP(Modelo!P2, Tabela!G3:AM11, 29, FALSE))</f>
        <v/>
      </c>
      <c r="H20" s="74"/>
      <c r="I20" s="74"/>
      <c r="J20" s="74"/>
      <c r="K20" s="75"/>
      <c r="L20" s="27"/>
      <c r="M20" s="27"/>
    </row>
    <row r="21" spans="1:13" ht="24" customHeight="1" x14ac:dyDescent="0.25">
      <c r="A21" s="27"/>
      <c r="B21" s="70" t="str">
        <f>IF(VLOOKUP(Modelo!P2, Tabela!G3:AM11, 30, FALSE)=0,"",VLOOKUP(Modelo!P2, Tabela!G3:AM11, 30, FALSE))</f>
        <v/>
      </c>
      <c r="C21" s="71"/>
      <c r="D21" s="71"/>
      <c r="E21" s="71"/>
      <c r="F21" s="72"/>
      <c r="G21" s="73" t="str">
        <f>IF(VLOOKUP(Modelo!P2, Tabela!G3:AM11, 31, FALSE)=0,"",VLOOKUP(Modelo!P2, Tabela!G3:AM11, 31, FALSE))</f>
        <v/>
      </c>
      <c r="H21" s="74"/>
      <c r="I21" s="74"/>
      <c r="J21" s="74"/>
      <c r="K21" s="75"/>
      <c r="L21" s="27"/>
      <c r="M21" s="27"/>
    </row>
    <row r="22" spans="1:13" ht="24" customHeight="1" x14ac:dyDescent="0.25">
      <c r="A22" s="27"/>
      <c r="B22" s="70" t="str">
        <f>IF(VLOOKUP(Modelo!P2, Tabela!G3:AM11, 32, FALSE)=0,"",VLOOKUP(Modelo!P2, Tabela!G3:AM11, 32, FALSE))</f>
        <v/>
      </c>
      <c r="C22" s="71"/>
      <c r="D22" s="71"/>
      <c r="E22" s="71"/>
      <c r="F22" s="72"/>
      <c r="G22" s="73" t="str">
        <f>IF(VLOOKUP(Modelo!P2, Tabela!G3:AM11, 33, FALSE)=0,"",VLOOKUP(Modelo!P2, Tabela!G3:AM11, 33, FALSE))</f>
        <v/>
      </c>
      <c r="H22" s="74"/>
      <c r="I22" s="74"/>
      <c r="J22" s="74"/>
      <c r="K22" s="75"/>
      <c r="L22" s="27"/>
      <c r="M22" s="27"/>
    </row>
    <row r="23" spans="1:13" ht="24" customHeight="1" x14ac:dyDescent="0.25">
      <c r="A23" s="27"/>
      <c r="B23" s="133"/>
      <c r="C23" s="134"/>
      <c r="D23" s="134"/>
      <c r="E23" s="134"/>
      <c r="F23" s="135"/>
      <c r="G23" s="11" t="s">
        <v>10</v>
      </c>
      <c r="H23" s="73">
        <f>SUM(G15:K22)</f>
        <v>867</v>
      </c>
      <c r="I23" s="74"/>
      <c r="J23" s="74"/>
      <c r="K23" s="75"/>
      <c r="L23" s="27"/>
      <c r="M23" s="27"/>
    </row>
    <row r="24" spans="1:13" ht="15" customHeight="1" x14ac:dyDescent="0.25">
      <c r="A24" s="28"/>
      <c r="B24" s="124" t="s">
        <v>11</v>
      </c>
      <c r="C24" s="125"/>
      <c r="D24" s="125"/>
      <c r="E24" s="125"/>
      <c r="F24" s="125"/>
      <c r="G24" s="125"/>
      <c r="H24" s="125"/>
      <c r="I24" s="125"/>
      <c r="J24" s="125"/>
      <c r="K24" s="126"/>
      <c r="L24" s="28"/>
      <c r="M24" s="28"/>
    </row>
    <row r="25" spans="1:13" x14ac:dyDescent="0.25">
      <c r="A25" s="28"/>
      <c r="B25" s="127"/>
      <c r="C25" s="128"/>
      <c r="D25" s="128"/>
      <c r="E25" s="128"/>
      <c r="F25" s="128"/>
      <c r="G25" s="128"/>
      <c r="H25" s="128"/>
      <c r="I25" s="128"/>
      <c r="J25" s="128"/>
      <c r="K25" s="129"/>
      <c r="L25" s="28"/>
      <c r="M25" s="28"/>
    </row>
    <row r="26" spans="1:13" x14ac:dyDescent="0.25">
      <c r="A26" s="28"/>
      <c r="B26" s="127"/>
      <c r="C26" s="128"/>
      <c r="D26" s="128"/>
      <c r="E26" s="128"/>
      <c r="F26" s="128"/>
      <c r="G26" s="128"/>
      <c r="H26" s="128"/>
      <c r="I26" s="128"/>
      <c r="J26" s="128"/>
      <c r="K26" s="129"/>
      <c r="L26" s="28"/>
      <c r="M26" s="28"/>
    </row>
    <row r="27" spans="1:13" x14ac:dyDescent="0.25">
      <c r="A27" s="28"/>
      <c r="B27" s="127"/>
      <c r="C27" s="128"/>
      <c r="D27" s="128"/>
      <c r="E27" s="128"/>
      <c r="F27" s="128"/>
      <c r="G27" s="128"/>
      <c r="H27" s="128"/>
      <c r="I27" s="128"/>
      <c r="J27" s="128"/>
      <c r="K27" s="129"/>
      <c r="L27" s="28"/>
      <c r="M27" s="28"/>
    </row>
    <row r="28" spans="1:13" x14ac:dyDescent="0.25">
      <c r="A28" s="28"/>
      <c r="B28" s="127"/>
      <c r="C28" s="128"/>
      <c r="D28" s="128"/>
      <c r="E28" s="128"/>
      <c r="F28" s="128"/>
      <c r="G28" s="128"/>
      <c r="H28" s="128"/>
      <c r="I28" s="128"/>
      <c r="J28" s="128"/>
      <c r="K28" s="129"/>
      <c r="L28" s="28"/>
      <c r="M28" s="28"/>
    </row>
    <row r="29" spans="1:13" ht="89.25" customHeight="1" x14ac:dyDescent="0.25">
      <c r="A29" s="28"/>
      <c r="B29" s="127"/>
      <c r="C29" s="128"/>
      <c r="D29" s="128"/>
      <c r="E29" s="128"/>
      <c r="F29" s="128"/>
      <c r="G29" s="128"/>
      <c r="H29" s="128"/>
      <c r="I29" s="128"/>
      <c r="J29" s="128"/>
      <c r="K29" s="129"/>
      <c r="L29" s="28"/>
      <c r="M29" s="28"/>
    </row>
    <row r="30" spans="1:13" ht="15.75" thickBot="1" x14ac:dyDescent="0.3">
      <c r="A30" s="28"/>
      <c r="B30" s="130"/>
      <c r="C30" s="131"/>
      <c r="D30" s="131"/>
      <c r="E30" s="131"/>
      <c r="F30" s="131"/>
      <c r="G30" s="131"/>
      <c r="H30" s="131"/>
      <c r="I30" s="131"/>
      <c r="J30" s="131"/>
      <c r="K30" s="132"/>
      <c r="L30" s="28"/>
      <c r="M30" s="28"/>
    </row>
    <row r="31" spans="1:13" ht="15.75" thickTop="1" x14ac:dyDescent="0.25">
      <c r="A31" s="23"/>
      <c r="B31" s="5"/>
      <c r="K31" s="6"/>
      <c r="L31" s="23"/>
      <c r="M31" s="23"/>
    </row>
    <row r="32" spans="1:13" x14ac:dyDescent="0.25">
      <c r="A32" s="23"/>
      <c r="B32" s="5"/>
      <c r="F32" s="12" t="s">
        <v>12</v>
      </c>
      <c r="K32" s="6"/>
      <c r="L32" s="23"/>
      <c r="M32" s="23"/>
    </row>
    <row r="33" spans="1:13" ht="15.75" thickBot="1" x14ac:dyDescent="0.3">
      <c r="A33" s="23"/>
      <c r="B33" s="13"/>
      <c r="C33" s="14"/>
      <c r="D33" s="14"/>
      <c r="E33" s="14"/>
      <c r="F33" s="15" t="s">
        <v>13</v>
      </c>
      <c r="G33" s="14"/>
      <c r="H33" s="14"/>
      <c r="I33" s="14"/>
      <c r="J33" s="14"/>
      <c r="K33" s="16"/>
      <c r="L33" s="23"/>
      <c r="M33" s="23"/>
    </row>
  </sheetData>
  <mergeCells count="32">
    <mergeCell ref="O7:P7"/>
    <mergeCell ref="O6:P6"/>
    <mergeCell ref="B24:K30"/>
    <mergeCell ref="B21:F21"/>
    <mergeCell ref="G21:K21"/>
    <mergeCell ref="B22:F22"/>
    <mergeCell ref="G22:K22"/>
    <mergeCell ref="B23:F23"/>
    <mergeCell ref="H23:K23"/>
    <mergeCell ref="B18:F18"/>
    <mergeCell ref="G18:K18"/>
    <mergeCell ref="B19:F19"/>
    <mergeCell ref="G19:K19"/>
    <mergeCell ref="B20:F20"/>
    <mergeCell ref="G20:K20"/>
    <mergeCell ref="B15:F15"/>
    <mergeCell ref="G15:K15"/>
    <mergeCell ref="B16:F16"/>
    <mergeCell ref="G16:K16"/>
    <mergeCell ref="B17:F17"/>
    <mergeCell ref="G17:K17"/>
    <mergeCell ref="C11:K11"/>
    <mergeCell ref="C12:K12"/>
    <mergeCell ref="C13:F13"/>
    <mergeCell ref="H13:K13"/>
    <mergeCell ref="B14:F14"/>
    <mergeCell ref="G14:K14"/>
    <mergeCell ref="B8:K8"/>
    <mergeCell ref="B9:K9"/>
    <mergeCell ref="C10:D10"/>
    <mergeCell ref="F10:H10"/>
    <mergeCell ref="J10:K10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aoEnvio">
                <anchor moveWithCells="1" sizeWithCells="1">
                  <from>
                    <xdr:col>14</xdr:col>
                    <xdr:colOff>0</xdr:colOff>
                    <xdr:row>8</xdr:row>
                    <xdr:rowOff>0</xdr:rowOff>
                  </from>
                  <to>
                    <xdr:col>16</xdr:col>
                    <xdr:colOff>0</xdr:colOff>
                    <xdr:row>10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otaoCaminho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304A-3457-41D2-98F6-7E1692A94C7A}">
  <sheetPr codeName="Sheet9">
    <pageSetUpPr autoPageBreaks="0"/>
  </sheetPr>
  <dimension ref="B1:X32"/>
  <sheetViews>
    <sheetView topLeftCell="A4" workbookViewId="0">
      <selection activeCell="O2" sqref="O2"/>
    </sheetView>
  </sheetViews>
  <sheetFormatPr defaultRowHeight="15" x14ac:dyDescent="0.25"/>
  <cols>
    <col min="1" max="1" width="3" style="1" customWidth="1"/>
    <col min="2" max="2" width="11.42578125" style="1" customWidth="1"/>
    <col min="3" max="3" width="9.140625" style="1" customWidth="1"/>
    <col min="4" max="4" width="5.7109375" style="1" customWidth="1"/>
    <col min="5" max="7" width="9.140625" style="1" customWidth="1"/>
    <col min="8" max="8" width="5.7109375" style="1" customWidth="1"/>
    <col min="9" max="11" width="9.140625" style="1" customWidth="1"/>
    <col min="12" max="13" width="9.140625" style="1"/>
    <col min="14" max="14" width="13.42578125" style="1" bestFit="1" customWidth="1"/>
    <col min="15" max="15" width="15" style="1" bestFit="1" customWidth="1"/>
    <col min="16" max="16384" width="9.140625" style="1"/>
  </cols>
  <sheetData>
    <row r="1" spans="2:24" ht="15.75" thickBot="1" x14ac:dyDescent="0.3">
      <c r="R1" s="31"/>
      <c r="S1" s="31"/>
      <c r="T1" s="31"/>
      <c r="U1" s="31"/>
      <c r="V1" s="31"/>
      <c r="W1" s="31"/>
      <c r="X1" s="31"/>
    </row>
    <row r="2" spans="2:24" x14ac:dyDescent="0.25">
      <c r="B2" s="2"/>
      <c r="C2" s="3"/>
      <c r="D2" s="3"/>
      <c r="E2" s="3"/>
      <c r="F2" s="3"/>
      <c r="G2" s="3"/>
      <c r="H2" s="3"/>
      <c r="I2" s="3"/>
      <c r="J2" s="3"/>
      <c r="K2" s="4"/>
      <c r="L2" s="23"/>
      <c r="N2" s="18" t="s">
        <v>23</v>
      </c>
      <c r="O2" s="19" t="s">
        <v>15</v>
      </c>
    </row>
    <row r="3" spans="2:24" ht="15.75" thickBot="1" x14ac:dyDescent="0.3">
      <c r="B3" s="5"/>
      <c r="K3" s="6"/>
      <c r="L3" s="23"/>
      <c r="N3" s="20" t="s">
        <v>21</v>
      </c>
      <c r="O3" s="21" t="s">
        <v>19</v>
      </c>
    </row>
    <row r="4" spans="2:24" ht="15.75" thickBot="1" x14ac:dyDescent="0.3">
      <c r="B4" s="5"/>
      <c r="K4" s="6"/>
      <c r="L4" s="23"/>
    </row>
    <row r="5" spans="2:24" x14ac:dyDescent="0.25">
      <c r="B5" s="5"/>
      <c r="K5" s="6"/>
      <c r="L5" s="23"/>
      <c r="N5" s="136" t="s">
        <v>55</v>
      </c>
      <c r="O5" s="137"/>
    </row>
    <row r="6" spans="2:24" ht="19.5" customHeight="1" thickBot="1" x14ac:dyDescent="0.3">
      <c r="B6" s="5"/>
      <c r="K6" s="6"/>
      <c r="L6" s="23"/>
      <c r="N6" s="13"/>
      <c r="O6" s="16"/>
    </row>
    <row r="7" spans="2:24" s="7" customFormat="1" ht="24" customHeight="1" x14ac:dyDescent="0.25">
      <c r="B7" s="82" t="s">
        <v>0</v>
      </c>
      <c r="C7" s="83"/>
      <c r="D7" s="83"/>
      <c r="E7" s="83"/>
      <c r="F7" s="83"/>
      <c r="G7" s="83"/>
      <c r="H7" s="83"/>
      <c r="I7" s="83"/>
      <c r="J7" s="83"/>
      <c r="K7" s="84"/>
      <c r="L7" s="24"/>
    </row>
    <row r="8" spans="2:24" s="7" customFormat="1" ht="15.75" thickBot="1" x14ac:dyDescent="0.3">
      <c r="B8" s="82"/>
      <c r="C8" s="83"/>
      <c r="D8" s="83"/>
      <c r="E8" s="83"/>
      <c r="F8" s="83"/>
      <c r="G8" s="83"/>
      <c r="H8" s="83"/>
      <c r="I8" s="83"/>
      <c r="J8" s="83"/>
      <c r="K8" s="84"/>
      <c r="L8" s="24"/>
    </row>
    <row r="9" spans="2:24" ht="24" customHeight="1" thickTop="1" x14ac:dyDescent="0.25">
      <c r="B9" s="8" t="s">
        <v>1</v>
      </c>
      <c r="C9" s="85"/>
      <c r="D9" s="85"/>
      <c r="E9" s="9" t="s">
        <v>2</v>
      </c>
      <c r="F9" s="86" t="str">
        <f>Modelo!F10</f>
        <v>Fevereiro</v>
      </c>
      <c r="G9" s="87"/>
      <c r="H9" s="87"/>
      <c r="I9" s="9" t="s">
        <v>3</v>
      </c>
      <c r="J9" s="88">
        <f>Modelo!J10</f>
        <v>43866</v>
      </c>
      <c r="K9" s="89"/>
      <c r="L9" s="25"/>
    </row>
    <row r="10" spans="2:24" ht="24" customHeight="1" x14ac:dyDescent="0.25">
      <c r="B10" s="10" t="s">
        <v>4</v>
      </c>
      <c r="C10" s="77" t="str">
        <f>Modelo!C11</f>
        <v>Modal Mais</v>
      </c>
      <c r="D10" s="62"/>
      <c r="E10" s="62"/>
      <c r="F10" s="62"/>
      <c r="G10" s="62"/>
      <c r="H10" s="62"/>
      <c r="I10" s="62"/>
      <c r="J10" s="62"/>
      <c r="K10" s="78"/>
      <c r="L10" s="26"/>
    </row>
    <row r="11" spans="2:24" ht="24" customHeight="1" x14ac:dyDescent="0.25">
      <c r="B11" s="10" t="s">
        <v>5</v>
      </c>
      <c r="C11" s="77" t="str">
        <f>Modelo!C12</f>
        <v>Ventura</v>
      </c>
      <c r="D11" s="62"/>
      <c r="E11" s="62"/>
      <c r="F11" s="62"/>
      <c r="G11" s="62"/>
      <c r="H11" s="62"/>
      <c r="I11" s="62"/>
      <c r="J11" s="62"/>
      <c r="K11" s="78"/>
      <c r="L11" s="26"/>
    </row>
    <row r="12" spans="2:24" ht="24" customHeight="1" x14ac:dyDescent="0.25">
      <c r="B12" s="10" t="s">
        <v>6</v>
      </c>
      <c r="C12" s="62">
        <f>Modelo!C13</f>
        <v>33333</v>
      </c>
      <c r="D12" s="62"/>
      <c r="E12" s="62"/>
      <c r="F12" s="62"/>
      <c r="G12" s="29" t="s">
        <v>7</v>
      </c>
      <c r="H12" s="62">
        <f>Modelo!H13</f>
        <v>66666</v>
      </c>
      <c r="I12" s="62"/>
      <c r="J12" s="62"/>
      <c r="K12" s="78"/>
      <c r="L12" s="26"/>
    </row>
    <row r="13" spans="2:24" ht="24" customHeight="1" x14ac:dyDescent="0.25">
      <c r="B13" s="79" t="s">
        <v>8</v>
      </c>
      <c r="C13" s="80"/>
      <c r="D13" s="80"/>
      <c r="E13" s="80"/>
      <c r="F13" s="80"/>
      <c r="G13" s="80" t="s">
        <v>9</v>
      </c>
      <c r="H13" s="80"/>
      <c r="I13" s="80"/>
      <c r="J13" s="80"/>
      <c r="K13" s="81"/>
      <c r="L13" s="24"/>
    </row>
    <row r="14" spans="2:24" ht="24" customHeight="1" x14ac:dyDescent="0.25">
      <c r="B14" s="76" t="str">
        <f>Modelo!B15</f>
        <v>Aluguel</v>
      </c>
      <c r="C14" s="62"/>
      <c r="D14" s="62"/>
      <c r="E14" s="62"/>
      <c r="F14" s="62"/>
      <c r="G14" s="63">
        <f>Modelo!G15</f>
        <v>789</v>
      </c>
      <c r="H14" s="63"/>
      <c r="I14" s="63"/>
      <c r="J14" s="63"/>
      <c r="K14" s="64"/>
      <c r="L14" s="27"/>
    </row>
    <row r="15" spans="2:24" ht="24" customHeight="1" x14ac:dyDescent="0.25">
      <c r="B15" s="76" t="str">
        <f>Modelo!B16</f>
        <v>Reembolso IPTU 01/10</v>
      </c>
      <c r="C15" s="62"/>
      <c r="D15" s="62"/>
      <c r="E15" s="62"/>
      <c r="F15" s="62"/>
      <c r="G15" s="63">
        <f>Modelo!G16</f>
        <v>78</v>
      </c>
      <c r="H15" s="63"/>
      <c r="I15" s="63"/>
      <c r="J15" s="63"/>
      <c r="K15" s="64"/>
      <c r="L15" s="27"/>
    </row>
    <row r="16" spans="2:24" ht="24" customHeight="1" x14ac:dyDescent="0.25">
      <c r="B16" s="67" t="str">
        <f>Modelo!B17</f>
        <v/>
      </c>
      <c r="C16" s="68"/>
      <c r="D16" s="68"/>
      <c r="E16" s="68"/>
      <c r="F16" s="69"/>
      <c r="G16" s="73" t="str">
        <f>Modelo!G17</f>
        <v/>
      </c>
      <c r="H16" s="74"/>
      <c r="I16" s="74"/>
      <c r="J16" s="74"/>
      <c r="K16" s="75"/>
      <c r="L16" s="27"/>
    </row>
    <row r="17" spans="2:12" ht="24" customHeight="1" x14ac:dyDescent="0.25">
      <c r="B17" s="67" t="str">
        <f>Modelo!B18</f>
        <v/>
      </c>
      <c r="C17" s="68"/>
      <c r="D17" s="68"/>
      <c r="E17" s="68"/>
      <c r="F17" s="69"/>
      <c r="G17" s="63" t="str">
        <f>Modelo!G18</f>
        <v/>
      </c>
      <c r="H17" s="63"/>
      <c r="I17" s="63"/>
      <c r="J17" s="63"/>
      <c r="K17" s="64"/>
      <c r="L17" s="27"/>
    </row>
    <row r="18" spans="2:12" ht="24" customHeight="1" x14ac:dyDescent="0.25">
      <c r="B18" s="70" t="str">
        <f>Modelo!B19</f>
        <v/>
      </c>
      <c r="C18" s="71"/>
      <c r="D18" s="71"/>
      <c r="E18" s="71"/>
      <c r="F18" s="72"/>
      <c r="G18" s="73" t="str">
        <f>Modelo!G19</f>
        <v/>
      </c>
      <c r="H18" s="74"/>
      <c r="I18" s="74"/>
      <c r="J18" s="74"/>
      <c r="K18" s="75"/>
      <c r="L18" s="27"/>
    </row>
    <row r="19" spans="2:12" ht="24" customHeight="1" x14ac:dyDescent="0.25">
      <c r="B19" s="61" t="str">
        <f>Modelo!B20</f>
        <v/>
      </c>
      <c r="C19" s="62"/>
      <c r="D19" s="62"/>
      <c r="E19" s="62"/>
      <c r="F19" s="62"/>
      <c r="G19" s="63" t="str">
        <f>Modelo!G20</f>
        <v/>
      </c>
      <c r="H19" s="63"/>
      <c r="I19" s="63"/>
      <c r="J19" s="63"/>
      <c r="K19" s="64"/>
      <c r="L19" s="27"/>
    </row>
    <row r="20" spans="2:12" ht="24" customHeight="1" x14ac:dyDescent="0.25">
      <c r="B20" s="61" t="str">
        <f>Modelo!B21</f>
        <v/>
      </c>
      <c r="C20" s="62"/>
      <c r="D20" s="62"/>
      <c r="E20" s="62"/>
      <c r="F20" s="62"/>
      <c r="G20" s="63" t="str">
        <f>Modelo!G21</f>
        <v/>
      </c>
      <c r="H20" s="63"/>
      <c r="I20" s="63"/>
      <c r="J20" s="63"/>
      <c r="K20" s="64"/>
      <c r="L20" s="27"/>
    </row>
    <row r="21" spans="2:12" ht="24" customHeight="1" x14ac:dyDescent="0.25">
      <c r="B21" s="61" t="str">
        <f>Modelo!B22</f>
        <v/>
      </c>
      <c r="C21" s="62"/>
      <c r="D21" s="62"/>
      <c r="E21" s="62"/>
      <c r="F21" s="62"/>
      <c r="G21" s="63" t="str">
        <f>Modelo!G22</f>
        <v/>
      </c>
      <c r="H21" s="63"/>
      <c r="I21" s="63"/>
      <c r="J21" s="63"/>
      <c r="K21" s="64"/>
      <c r="L21" s="27"/>
    </row>
    <row r="22" spans="2:12" ht="24" customHeight="1" x14ac:dyDescent="0.25">
      <c r="B22" s="65"/>
      <c r="C22" s="66"/>
      <c r="D22" s="66"/>
      <c r="E22" s="66"/>
      <c r="F22" s="66"/>
      <c r="G22" s="11" t="s">
        <v>10</v>
      </c>
      <c r="H22" s="63">
        <f>SUM(G14:K21)</f>
        <v>867</v>
      </c>
      <c r="I22" s="63"/>
      <c r="J22" s="63"/>
      <c r="K22" s="64"/>
      <c r="L22" s="27"/>
    </row>
    <row r="23" spans="2:12" ht="15" customHeight="1" x14ac:dyDescent="0.25">
      <c r="B23" s="54" t="s">
        <v>11</v>
      </c>
      <c r="C23" s="55"/>
      <c r="D23" s="55"/>
      <c r="E23" s="55"/>
      <c r="F23" s="55"/>
      <c r="G23" s="55"/>
      <c r="H23" s="55"/>
      <c r="I23" s="55"/>
      <c r="J23" s="55"/>
      <c r="K23" s="56"/>
      <c r="L23" s="28"/>
    </row>
    <row r="24" spans="2:12" x14ac:dyDescent="0.25">
      <c r="B24" s="57"/>
      <c r="C24" s="55"/>
      <c r="D24" s="55"/>
      <c r="E24" s="55"/>
      <c r="F24" s="55"/>
      <c r="G24" s="55"/>
      <c r="H24" s="55"/>
      <c r="I24" s="55"/>
      <c r="J24" s="55"/>
      <c r="K24" s="56"/>
      <c r="L24" s="28"/>
    </row>
    <row r="25" spans="2:12" x14ac:dyDescent="0.25">
      <c r="B25" s="57"/>
      <c r="C25" s="55"/>
      <c r="D25" s="55"/>
      <c r="E25" s="55"/>
      <c r="F25" s="55"/>
      <c r="G25" s="55"/>
      <c r="H25" s="55"/>
      <c r="I25" s="55"/>
      <c r="J25" s="55"/>
      <c r="K25" s="56"/>
      <c r="L25" s="28"/>
    </row>
    <row r="26" spans="2:12" x14ac:dyDescent="0.25">
      <c r="B26" s="57"/>
      <c r="C26" s="55"/>
      <c r="D26" s="55"/>
      <c r="E26" s="55"/>
      <c r="F26" s="55"/>
      <c r="G26" s="55"/>
      <c r="H26" s="55"/>
      <c r="I26" s="55"/>
      <c r="J26" s="55"/>
      <c r="K26" s="56"/>
      <c r="L26" s="28"/>
    </row>
    <row r="27" spans="2:12" x14ac:dyDescent="0.25">
      <c r="B27" s="57"/>
      <c r="C27" s="55"/>
      <c r="D27" s="55"/>
      <c r="E27" s="55"/>
      <c r="F27" s="55"/>
      <c r="G27" s="55"/>
      <c r="H27" s="55"/>
      <c r="I27" s="55"/>
      <c r="J27" s="55"/>
      <c r="K27" s="56"/>
      <c r="L27" s="28"/>
    </row>
    <row r="28" spans="2:12" ht="89.25" customHeight="1" x14ac:dyDescent="0.25">
      <c r="B28" s="57"/>
      <c r="C28" s="55"/>
      <c r="D28" s="55"/>
      <c r="E28" s="55"/>
      <c r="F28" s="55"/>
      <c r="G28" s="55"/>
      <c r="H28" s="55"/>
      <c r="I28" s="55"/>
      <c r="J28" s="55"/>
      <c r="K28" s="56"/>
      <c r="L28" s="28"/>
    </row>
    <row r="29" spans="2:12" ht="15.75" thickBot="1" x14ac:dyDescent="0.3">
      <c r="B29" s="58"/>
      <c r="C29" s="59"/>
      <c r="D29" s="59"/>
      <c r="E29" s="59"/>
      <c r="F29" s="59"/>
      <c r="G29" s="59"/>
      <c r="H29" s="59"/>
      <c r="I29" s="59"/>
      <c r="J29" s="59"/>
      <c r="K29" s="60"/>
      <c r="L29" s="28"/>
    </row>
    <row r="30" spans="2:12" ht="15.75" thickTop="1" x14ac:dyDescent="0.25">
      <c r="L30" s="23"/>
    </row>
    <row r="31" spans="2:12" x14ac:dyDescent="0.25">
      <c r="L31" s="23"/>
    </row>
    <row r="32" spans="2:12" x14ac:dyDescent="0.25">
      <c r="L32" s="23"/>
    </row>
  </sheetData>
  <mergeCells count="31">
    <mergeCell ref="B23:K29"/>
    <mergeCell ref="B21:F21"/>
    <mergeCell ref="G21:K21"/>
    <mergeCell ref="B22:F22"/>
    <mergeCell ref="H22:K22"/>
    <mergeCell ref="B19:F19"/>
    <mergeCell ref="G19:K19"/>
    <mergeCell ref="B20:F20"/>
    <mergeCell ref="G20:K20"/>
    <mergeCell ref="B17:F17"/>
    <mergeCell ref="G17:K17"/>
    <mergeCell ref="B18:F18"/>
    <mergeCell ref="G18:K18"/>
    <mergeCell ref="B15:F15"/>
    <mergeCell ref="G15:K15"/>
    <mergeCell ref="B16:F16"/>
    <mergeCell ref="G16:K16"/>
    <mergeCell ref="B13:F13"/>
    <mergeCell ref="G13:K13"/>
    <mergeCell ref="B14:F14"/>
    <mergeCell ref="G14:K14"/>
    <mergeCell ref="C10:K10"/>
    <mergeCell ref="C11:K11"/>
    <mergeCell ref="C12:F12"/>
    <mergeCell ref="H12:K12"/>
    <mergeCell ref="N5:O5"/>
    <mergeCell ref="B7:K7"/>
    <mergeCell ref="B8:K8"/>
    <mergeCell ref="C9:D9"/>
    <mergeCell ref="F9:H9"/>
    <mergeCell ref="J9:K9"/>
  </mergeCells>
  <dataValidations count="2">
    <dataValidation type="list" allowBlank="1" showInputMessage="1" showErrorMessage="1" sqref="O3" xr:uid="{6B52F79A-8985-4A38-9CF6-6EF89A6CBB9B}">
      <formula1>locatario</formula1>
    </dataValidation>
    <dataValidation type="list" allowBlank="1" showInputMessage="1" showErrorMessage="1" sqref="O2" xr:uid="{4F73CA98-D934-4EC5-A128-0D38AAD927D0}">
      <formula1>anomes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TextBox1">
          <controlPr defaultSize="0" autoLine="0" r:id="rId5">
            <anchor moveWithCells="1">
              <from>
                <xdr:col>13</xdr:col>
                <xdr:colOff>0</xdr:colOff>
                <xdr:row>5</xdr:row>
                <xdr:rowOff>0</xdr:rowOff>
              </from>
              <to>
                <xdr:col>15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3074" r:id="rId4" name="TextBox1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BotaoEnvio">
            <anchor moveWithCells="1" sizeWithCells="1">
              <from>
                <xdr:col>13</xdr:col>
                <xdr:colOff>0</xdr:colOff>
                <xdr:row>7</xdr:row>
                <xdr:rowOff>0</xdr:rowOff>
              </from>
              <to>
                <xdr:col>15</xdr:col>
                <xdr:colOff>0</xdr:colOff>
                <xdr:row>9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7" name="Button 3">
          <controlPr defaultSize="0" print="0" autoFill="0" autoPict="0" macro="[0]!BotaoCaminho">
            <anchor moveWithCells="1" sizeWithCells="1">
              <from>
                <xdr:col>15</xdr:col>
                <xdr:colOff>0</xdr:colOff>
                <xdr:row>4</xdr:row>
                <xdr:rowOff>0</xdr:rowOff>
              </from>
              <to>
                <xdr:col>17</xdr:col>
                <xdr:colOff>0</xdr:colOff>
                <xdr:row>6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Menu Principal</vt:lpstr>
      <vt:lpstr>Visualizar Registro</vt:lpstr>
      <vt:lpstr>Controle Locatário X Imóvel</vt:lpstr>
      <vt:lpstr>Alterar Registro de Imóveis</vt:lpstr>
      <vt:lpstr>Alterar Registro de Locatários</vt:lpstr>
      <vt:lpstr>Alterar Registro de Contas</vt:lpstr>
      <vt:lpstr>Tabela</vt:lpstr>
      <vt:lpstr>Modelo</vt:lpstr>
      <vt:lpstr>Aviso</vt:lpstr>
      <vt:lpstr>anomes</vt:lpstr>
      <vt:lpstr>imovel</vt:lpstr>
      <vt:lpstr>locatario</vt:lpstr>
      <vt:lpstr>Modelo!Print_Area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Cadu</cp:lastModifiedBy>
  <cp:lastPrinted>2020-06-01T13:07:35Z</cp:lastPrinted>
  <dcterms:created xsi:type="dcterms:W3CDTF">2020-04-01T13:39:53Z</dcterms:created>
  <dcterms:modified xsi:type="dcterms:W3CDTF">2020-07-24T22:24:16Z</dcterms:modified>
</cp:coreProperties>
</file>